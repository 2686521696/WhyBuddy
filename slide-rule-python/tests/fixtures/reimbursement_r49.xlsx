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-说明" sheetId="1" state="visible" r:id="rId1"/>
    <sheet xmlns:r="http://schemas.openxmlformats.org/officeDocument/2006/relationships" name="01-报销明细" sheetId="2" state="visible" r:id="rId2"/>
    <sheet xmlns:r="http://schemas.openxmlformats.org/officeDocument/2006/relationships" name="02-部门汇总" sheetId="3" state="visible" r:id="rId3"/>
    <sheet xmlns:r="http://schemas.openxmlformats.org/officeDocument/2006/relationships" name="99-问题日志" sheetId="4" state="visible" r:id="rId4"/>
  </sheets>
  <definedNames>
    <definedName name="_xlnm._FilterDatabase" localSheetId="1" hidden="1">'01-报销明细'!$A$1:$J$7</definedName>
    <definedName name="_xlnm._FilterDatabase" localSheetId="2" hidden="1">'02-部门汇总'!$A$1:$D$4</definedName>
    <definedName name="_xlnm._FilterDatabase" localSheetId="3" hidden="1">'99-问题日志'!$A$1:$E$4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color rgb="002C3E50"/>
    </font>
    <font>
      <b val="1"/>
      <color rgb="00FFFFFF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2C3E50"/>
      </patternFill>
    </fill>
    <fill>
      <patternFill patternType="solid">
        <fgColor rgb="00FDEBD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D4E6F1"/>
      </patternFill>
    </fill>
  </fills>
  <borders count="3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  <border>
      <left style="thin">
        <color rgb="00D9E1E8"/>
      </left>
      <right style="thin">
        <color rgb="00D9E1E8"/>
      </right>
      <top style="double">
        <color rgb="002C3E50"/>
      </top>
      <bottom style="thin">
        <color rgb="00D9E1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4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164" fontId="0" fillId="5" borderId="1" applyAlignment="1" pivotButton="0" quotePrefix="0" xfId="0">
      <alignment vertical="center" wrapText="1"/>
    </xf>
    <xf numFmtId="4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164" fontId="0" fillId="6" borderId="1" applyAlignment="1" pivotButton="0" quotePrefix="0" xfId="0">
      <alignment vertical="center" wrapText="1"/>
    </xf>
    <xf numFmtId="4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/>
    </xf>
    <xf numFmtId="4" fontId="4" fillId="0" borderId="2" applyAlignment="1" pivotButton="0" quotePrefix="0" xfId="0">
      <alignment horizontal="center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ExpenseDetails" displayName="ExpenseDetails" ref="A1:J7" headerRowCount="1">
  <autoFilter ref="A1:J7"/>
  <tableColumns count="10">
    <tableColumn id="1" name="序号"/>
    <tableColumn id="2" name="原始日期"/>
    <tableColumn id="3" name="统一日期"/>
    <tableColumn id="4" name="报销人"/>
    <tableColumn id="5" name="部门"/>
    <tableColumn id="6" name="费用类别"/>
    <tableColumn id="7" name="原始金额"/>
    <tableColumn id="8" name="金额（数字）"/>
    <tableColumn id="9" name="数据状态"/>
    <tableColumn id="10" name="问题说明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5" customWidth="1" min="2" max="2"/>
  </cols>
  <sheetData>
    <row r="1">
      <c r="A1" s="1" t="inlineStr">
        <is>
          <t>报销记录整理工作簿</t>
        </is>
      </c>
    </row>
    <row r="3">
      <c r="A3" s="2" t="inlineStr">
        <is>
          <t>用途</t>
        </is>
      </c>
      <c r="B3" s="3" t="inlineStr">
        <is>
          <t>归档 6 条报销明细，并按部门汇总已填金额。</t>
        </is>
      </c>
    </row>
    <row r="4">
      <c r="A4" s="2" t="inlineStr">
        <is>
          <t>数据来源</t>
        </is>
      </c>
      <c r="B4" s="3" t="inlineStr">
        <is>
          <t>本轮对话中提供的 6 条原始报销记录。</t>
        </is>
      </c>
    </row>
    <row r="5">
      <c r="A5" s="2" t="inlineStr">
        <is>
          <t>日期规则</t>
        </is>
      </c>
      <c r="B5" s="3" t="inlineStr">
        <is>
          <t>统一为 yyyy-mm-dd；“9月5日”因同批记录年份均为2026，按 2026-09-05 处理并记录假设。</t>
        </is>
      </c>
    </row>
    <row r="6">
      <c r="A6" s="2" t="inlineStr">
        <is>
          <t>金额规则</t>
        </is>
      </c>
      <c r="B6" s="3" t="inlineStr">
        <is>
          <t>去除千分位逗号和“元”后写入 Excel 数字；缺失金额保持空白。</t>
        </is>
      </c>
    </row>
    <row r="7">
      <c r="A7" s="2" t="inlineStr">
        <is>
          <t>重复规则</t>
        </is>
      </c>
      <c r="B7" s="3" t="inlineStr">
        <is>
          <t>两条完全相同的张三记录均保留并标记“疑似重复”，汇总按原始明细逐行统计。</t>
        </is>
      </c>
    </row>
    <row r="8">
      <c r="A8" s="2" t="inlineStr">
        <is>
          <t>汇总规则</t>
        </is>
      </c>
      <c r="B8" s="3" t="inlineStr">
        <is>
          <t>按部门统计记录数、已填金额合计和缺失金额记录数；缺失金额不计入金额合计。</t>
        </is>
      </c>
    </row>
    <row r="9">
      <c r="A9" s="2" t="inlineStr">
        <is>
          <t>异常处理</t>
        </is>
      </c>
      <c r="B9" s="3" t="inlineStr">
        <is>
          <t>异常数据只标记并说明，不擅自补金额、不删除重复记录。</t>
        </is>
      </c>
    </row>
    <row r="10">
      <c r="A10" s="2" t="inlineStr">
        <is>
          <t>交付限制</t>
        </is>
      </c>
      <c r="B10" s="3" t="inlineStr">
        <is>
          <t>已完成结构、数据和公式核验；当前环境无 LibreOffice，未进行渲染级视觉核验。</t>
        </is>
      </c>
    </row>
  </sheetData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6" customWidth="1" min="7" max="7"/>
    <col width="16" customWidth="1" min="8" max="8"/>
    <col width="14" customWidth="1" min="9" max="9"/>
    <col width="52" customWidth="1" min="10" max="10"/>
  </cols>
  <sheetData>
    <row r="1" ht="32" customHeight="1">
      <c r="A1" s="4" t="inlineStr">
        <is>
          <t>序号</t>
        </is>
      </c>
      <c r="B1" s="4" t="inlineStr">
        <is>
          <t>原始日期</t>
        </is>
      </c>
      <c r="C1" s="4" t="inlineStr">
        <is>
          <t>统一日期</t>
        </is>
      </c>
      <c r="D1" s="4" t="inlineStr">
        <is>
          <t>报销人</t>
        </is>
      </c>
      <c r="E1" s="4" t="inlineStr">
        <is>
          <t>部门</t>
        </is>
      </c>
      <c r="F1" s="4" t="inlineStr">
        <is>
          <t>费用类别</t>
        </is>
      </c>
      <c r="G1" s="4" t="inlineStr">
        <is>
          <t>原始金额</t>
        </is>
      </c>
      <c r="H1" s="4" t="inlineStr">
        <is>
          <t>金额（数字）</t>
        </is>
      </c>
      <c r="I1" s="4" t="inlineStr">
        <is>
          <t>数据状态</t>
        </is>
      </c>
      <c r="J1" s="4" t="inlineStr">
        <is>
          <t>问题说明</t>
        </is>
      </c>
    </row>
    <row r="2">
      <c r="A2" s="5" t="n">
        <v>1</v>
      </c>
      <c r="B2" s="6" t="inlineStr">
        <is>
          <t>2026/9/3</t>
        </is>
      </c>
      <c r="C2" s="7" t="n">
        <v>46268</v>
      </c>
      <c r="D2" s="6" t="inlineStr">
        <is>
          <t>张三</t>
        </is>
      </c>
      <c r="E2" s="6" t="inlineStr">
        <is>
          <t>市场部</t>
        </is>
      </c>
      <c r="F2" s="6" t="inlineStr">
        <is>
          <t>差旅</t>
        </is>
      </c>
      <c r="G2" s="6" t="inlineStr">
        <is>
          <t>1,280元</t>
        </is>
      </c>
      <c r="H2" s="8" t="n">
        <v>1280</v>
      </c>
      <c r="I2" s="6" t="inlineStr">
        <is>
          <t>疑似重复</t>
        </is>
      </c>
      <c r="J2" s="6" t="inlineStr">
        <is>
          <t>与第4条明细完全相同，请核对是否重复报销</t>
        </is>
      </c>
    </row>
    <row r="3">
      <c r="A3" s="5" t="n">
        <v>2</v>
      </c>
      <c r="B3" s="6" t="inlineStr">
        <is>
          <t>9月5日</t>
        </is>
      </c>
      <c r="C3" s="7" t="n">
        <v>46270</v>
      </c>
      <c r="D3" s="6" t="inlineStr">
        <is>
          <t>李四</t>
        </is>
      </c>
      <c r="E3" s="6" t="inlineStr">
        <is>
          <t>研发部</t>
        </is>
      </c>
      <c r="F3" s="6" t="inlineStr">
        <is>
          <t>办公用品</t>
        </is>
      </c>
      <c r="G3" s="6" t="inlineStr">
        <is>
          <t>356.5</t>
        </is>
      </c>
      <c r="H3" s="8" t="n">
        <v>356.5</v>
      </c>
      <c r="I3" s="6" t="inlineStr">
        <is>
          <t>需留意</t>
        </is>
      </c>
      <c r="J3" s="6" t="inlineStr">
        <is>
          <t>原始日期未包含年份，按同批记录上下文补为2026年</t>
        </is>
      </c>
    </row>
    <row r="4">
      <c r="A4" s="9" t="n">
        <v>3</v>
      </c>
      <c r="B4" s="10" t="inlineStr">
        <is>
          <t>2026-09-08</t>
        </is>
      </c>
      <c r="C4" s="11" t="n">
        <v>46273</v>
      </c>
      <c r="D4" s="10" t="inlineStr">
        <is>
          <t>王五</t>
        </is>
      </c>
      <c r="E4" s="10" t="inlineStr">
        <is>
          <t>市场部</t>
        </is>
      </c>
      <c r="F4" s="10" t="inlineStr">
        <is>
          <t>招待</t>
        </is>
      </c>
      <c r="G4" s="10" t="inlineStr">
        <is>
          <t>2400</t>
        </is>
      </c>
      <c r="H4" s="12" t="n">
        <v>2400</v>
      </c>
      <c r="I4" s="10" t="inlineStr">
        <is>
          <t>正常</t>
        </is>
      </c>
      <c r="J4" s="10" t="inlineStr"/>
    </row>
    <row r="5">
      <c r="A5" s="5" t="n">
        <v>4</v>
      </c>
      <c r="B5" s="6" t="inlineStr">
        <is>
          <t>2026/9/3</t>
        </is>
      </c>
      <c r="C5" s="7" t="n">
        <v>46268</v>
      </c>
      <c r="D5" s="6" t="inlineStr">
        <is>
          <t>张三</t>
        </is>
      </c>
      <c r="E5" s="6" t="inlineStr">
        <is>
          <t>市场部</t>
        </is>
      </c>
      <c r="F5" s="6" t="inlineStr">
        <is>
          <t>差旅</t>
        </is>
      </c>
      <c r="G5" s="6" t="inlineStr">
        <is>
          <t>1,280元</t>
        </is>
      </c>
      <c r="H5" s="8" t="n">
        <v>1280</v>
      </c>
      <c r="I5" s="6" t="inlineStr">
        <is>
          <t>疑似重复</t>
        </is>
      </c>
      <c r="J5" s="6" t="inlineStr">
        <is>
          <t>与第1条明细完全相同，请核对是否重复报销</t>
        </is>
      </c>
    </row>
    <row r="6">
      <c r="A6" s="13" t="n">
        <v>5</v>
      </c>
      <c r="B6" s="14" t="inlineStr">
        <is>
          <t>2026.9.12</t>
        </is>
      </c>
      <c r="C6" s="15" t="n">
        <v>46277</v>
      </c>
      <c r="D6" s="14" t="inlineStr">
        <is>
          <t>赵六</t>
        </is>
      </c>
      <c r="E6" s="14" t="inlineStr">
        <is>
          <t>研发部</t>
        </is>
      </c>
      <c r="F6" s="14" t="inlineStr">
        <is>
          <t>差旅</t>
        </is>
      </c>
      <c r="G6" s="14" t="inlineStr"/>
      <c r="H6" s="16" t="n"/>
      <c r="I6" s="14" t="inlineStr">
        <is>
          <t>待核实</t>
        </is>
      </c>
      <c r="J6" s="14" t="inlineStr">
        <is>
          <t>金额缺失，保留为空，未填猜测值</t>
        </is>
      </c>
    </row>
    <row r="7">
      <c r="A7" s="9" t="n">
        <v>6</v>
      </c>
      <c r="B7" s="10" t="inlineStr">
        <is>
          <t>2026-9-15</t>
        </is>
      </c>
      <c r="C7" s="11" t="n">
        <v>46280</v>
      </c>
      <c r="D7" s="10" t="inlineStr">
        <is>
          <t>孙七</t>
        </is>
      </c>
      <c r="E7" s="10" t="inlineStr">
        <is>
          <t>行政部</t>
        </is>
      </c>
      <c r="F7" s="10" t="inlineStr">
        <is>
          <t>办公用品</t>
        </is>
      </c>
      <c r="G7" s="10" t="inlineStr">
        <is>
          <t>89元</t>
        </is>
      </c>
      <c r="H7" s="12" t="n">
        <v>89</v>
      </c>
      <c r="I7" s="10" t="inlineStr">
        <is>
          <t>正常</t>
        </is>
      </c>
      <c r="J7" s="10" t="inlineStr"/>
    </row>
  </sheetData>
  <autoFilter ref="A1:J7"/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20" customWidth="1" min="4" max="4"/>
  </cols>
  <sheetData>
    <row r="1" ht="32" customHeight="1">
      <c r="A1" s="4" t="inlineStr">
        <is>
          <t>部门</t>
        </is>
      </c>
      <c r="B1" s="4" t="inlineStr">
        <is>
          <t>记录数</t>
        </is>
      </c>
      <c r="C1" s="4" t="inlineStr">
        <is>
          <t>已填金额合计</t>
        </is>
      </c>
      <c r="D1" s="4" t="inlineStr">
        <is>
          <t>缺失金额记录数</t>
        </is>
      </c>
    </row>
    <row r="2">
      <c r="A2" s="17" t="inlineStr">
        <is>
          <t>市场部</t>
        </is>
      </c>
      <c r="B2" s="17">
        <f>COUNTIF('01-报销明细'!$E$2:$E$7,A2)</f>
        <v>2</v>
      </c>
      <c r="C2" s="18">
        <f>SUMIF('01-报销明细'!$E$2:$E$7,A2,'01-报销明细'!$H$2:$H$7)</f>
        <v>4960</v>
      </c>
      <c r="D2" s="17">
        <f>COUNTIFS('01-报销明细'!$E$2:$E$7,A2,'01-报销明细'!$H$2:$H$7,"=")</f>
        <v>0</v>
      </c>
    </row>
    <row r="3">
      <c r="A3" s="17" t="inlineStr">
        <is>
          <t>研发部</t>
        </is>
      </c>
      <c r="B3" s="17">
        <f>COUNTIF('01-报销明细'!$E$2:$E$7,A3)</f>
        <v>2</v>
      </c>
      <c r="C3" s="18">
        <f>SUMIF('01-报销明细'!$E$2:$E$7,A3,'01-报销明细'!$H$2:$H$7)</f>
        <v>356.5</v>
      </c>
      <c r="D3" s="17">
        <f>COUNTIFS('01-报销明细'!$E$2:$E$7,A3,'01-报销明细'!$H$2:$H$7,"=")</f>
        <v>1</v>
      </c>
    </row>
    <row r="4">
      <c r="A4" s="17" t="inlineStr">
        <is>
          <t>行政部</t>
        </is>
      </c>
      <c r="B4" s="17">
        <f>COUNTIF('01-报销明细'!$E$2:$E$7,A4)</f>
        <v>1</v>
      </c>
      <c r="C4" s="18">
        <f>SUMIF('01-报销明细'!$E$2:$E$7,A4,'01-报销明细'!$H$2:$H$7)</f>
        <v>89</v>
      </c>
      <c r="D4" s="17">
        <f>COUNTIFS('01-报销明细'!$E$2:$E$7,A4,'01-报销明细'!$H$2:$H$7,"=")</f>
        <v>0</v>
      </c>
    </row>
    <row r="5">
      <c r="A5" s="19" t="inlineStr">
        <is>
          <t>合计</t>
        </is>
      </c>
      <c r="B5" s="19">
        <f>SUM(B2:B4)</f>
        <v>5</v>
      </c>
      <c r="C5" s="20">
        <f>SUM(C2:C4)</f>
        <v>5405.5</v>
      </c>
      <c r="D5" s="19">
        <f>SUM(D2:D4)</f>
        <v>1</v>
      </c>
    </row>
  </sheetData>
  <autoFilter ref="A1:D4"/>
  <pageMargins left="0.3" right="0.3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48" customWidth="1" min="4" max="4"/>
    <col width="58" customWidth="1" min="5" max="5"/>
  </cols>
  <sheetData>
    <row r="1">
      <c r="A1" s="4" t="inlineStr">
        <is>
          <t>编号</t>
        </is>
      </c>
      <c r="B1" s="4" t="inlineStr">
        <is>
          <t>级别</t>
        </is>
      </c>
      <c r="C1" s="4" t="inlineStr">
        <is>
          <t>关联明细</t>
        </is>
      </c>
      <c r="D1" s="4" t="inlineStr">
        <is>
          <t>问题/假设</t>
        </is>
      </c>
      <c r="E1" s="4" t="inlineStr">
        <is>
          <t>处理动作</t>
        </is>
      </c>
    </row>
    <row r="2">
      <c r="A2" s="6" t="n">
        <v>1</v>
      </c>
      <c r="B2" s="6" t="inlineStr">
        <is>
          <t>WARNING</t>
        </is>
      </c>
      <c r="C2" s="6" t="inlineStr">
        <is>
          <t>第1、4条</t>
        </is>
      </c>
      <c r="D2" s="6" t="inlineStr">
        <is>
          <t>两条张三记录完全相同，疑似重复报销。</t>
        </is>
      </c>
      <c r="E2" s="6" t="inlineStr">
        <is>
          <t>两条均保留，不去重；汇总按两条原始明细计入。</t>
        </is>
      </c>
    </row>
    <row r="3">
      <c r="A3" s="6" t="n">
        <v>2</v>
      </c>
      <c r="B3" s="6" t="inlineStr">
        <is>
          <t>WARNING</t>
        </is>
      </c>
      <c r="C3" s="6" t="inlineStr">
        <is>
          <t>第5条</t>
        </is>
      </c>
      <c r="D3" s="6" t="inlineStr">
        <is>
          <t>赵六金额缺失。</t>
        </is>
      </c>
      <c r="E3" s="6" t="inlineStr">
        <is>
          <t>金额单元格留空，状态标记为待核实，不填猜测值；汇总不计入金额。</t>
        </is>
      </c>
    </row>
    <row r="4">
      <c r="A4" s="21" t="n">
        <v>3</v>
      </c>
      <c r="B4" s="21" t="inlineStr">
        <is>
          <t>INFO</t>
        </is>
      </c>
      <c r="C4" s="21" t="inlineStr">
        <is>
          <t>第2条</t>
        </is>
      </c>
      <c r="D4" s="21" t="inlineStr">
        <is>
          <t>原始日期“9月5日”缺少年份。</t>
        </is>
      </c>
      <c r="E4" s="21" t="inlineStr">
        <is>
          <t>根据同批记录年份上下文补为 2026-09-05，并保留原始日期。</t>
        </is>
      </c>
    </row>
  </sheetData>
  <autoFilter ref="A1:E4"/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2026-10-07T05:47:05Z</dcterms:created>
  <dcterms:modified xmlns:dcterms="http://purl.org/dc/terms/" xmlns:xsi="http://www.w3.org/2001/XMLSchema-instance" xsi:type="dcterms:W3CDTF">2026-10-07T05:47:05Z</dcterms:modified>
</cp:coreProperties>
</file>