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预算执行分析" sheetId="1" r:id="rId1"/>
    <sheet name="领导结论" sheetId="2" r:id="rId2"/>
    <sheet name="月度明细" sheetId="3" r:id="rId3"/>
    <sheet name="口径说明" sheetId="4" r:id="rId4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B4" authorId="0">
      <text>
        <r>
          <rPr>
            <sz val="8"/>
            <color indexed="81"/>
            <rFont val="Tahoma"/>
            <family val="2"/>
          </rPr>
          <t>预算为月度批准额度；金额单位为人民币元。</t>
        </r>
      </text>
    </comment>
    <comment ref="D4" authorId="0">
      <text>
        <r>
          <rPr>
            <sz val="8"/>
            <color indexed="81"/>
            <rFont val="Tahoma"/>
            <family val="2"/>
          </rPr>
          <t>差异 = 实际支出 - 预算；正数表示超预算，负数表示节约。</t>
        </r>
      </text>
    </comment>
    <comment ref="E4" authorId="0">
      <text>
        <r>
          <rPr>
            <sz val="8"/>
            <color indexed="81"/>
            <rFont val="Tahoma"/>
            <family val="2"/>
          </rPr>
          <t>执行率 = 实际支出 / 预算；预算为 0 时返回 0。</t>
        </r>
      </text>
    </comment>
    <comment ref="H4" authorId="0">
      <text>
        <r>
          <rPr>
            <sz val="8"/>
            <color indexed="81"/>
            <rFont val="Tahoma"/>
            <family val="2"/>
          </rPr>
          <t>差异率 = 差异 / 预算；绝对值超过 10% 的月份标红。</t>
        </r>
      </text>
    </comment>
  </commentList>
</comments>
</file>

<file path=xl/sharedStrings.xml><?xml version="1.0" encoding="utf-8"?>
<sst xmlns="http://schemas.openxmlformats.org/spreadsheetml/2006/main" count="73" uniqueCount="60">
  <si>
    <t>市场部 2025 年预算执行分析</t>
  </si>
  <si>
    <t>年度预算与实际支出概览 | 金额单位：人民币元 | 数据来源：月度明细（示例数据）</t>
  </si>
  <si>
    <t>年度预算</t>
  </si>
  <si>
    <t>年度实际支出</t>
  </si>
  <si>
    <t>全年差异</t>
  </si>
  <si>
    <t>累计执行率</t>
  </si>
  <si>
    <t>执行摘要</t>
  </si>
  <si>
    <t>全年实际支出与预算的差异和执行率均由“月度明细”自动汇总。请重点关注差异为正、执行率高于 100% 的月份；差异为负表示在预算内节约。</t>
  </si>
  <si>
    <t>市场部 2025 年预算执行领导结论</t>
  </si>
  <si>
    <t>面向管理层的年度预算执行摘要 | 金额单位：人民币元 | 数据来源：月度明细</t>
  </si>
  <si>
    <t>一、核心结论</t>
  </si>
  <si>
    <t>本年度市场部实际支出与预算总体接近，但月度波动仍需关注。以下结论由月度明细自动计算，红色提示表示月度差异率绝对值超过 10%。</t>
  </si>
  <si>
    <t>差异率超 10% 月份数</t>
  </si>
  <si>
    <t>最大超支月份</t>
  </si>
  <si>
    <t>二、管理建议</t>
  </si>
  <si>
    <t>1. 重点复盘差异率绝对值超过 10% 的月份，区分活动投放、媒体采买和项目节奏等原因。\n2. 对超预算月份建立事前审批与月中预警机制，避免年度累计偏差扩大。\n3. 对节约月份核实是否存在活动延期、采购结算滞后或预算释放不足，避免将暂时性节约误判为效率提升。</t>
  </si>
  <si>
    <t>市场部 2025 年预算执行月度明细</t>
  </si>
  <si>
    <t>金额单位：人民币元 | 示例数据，用于演示预算执行分析</t>
  </si>
  <si>
    <t>月份</t>
  </si>
  <si>
    <t>预算（元）</t>
  </si>
  <si>
    <t>实际支出（元）</t>
  </si>
  <si>
    <t>差异（元）</t>
  </si>
  <si>
    <t>执行率</t>
  </si>
  <si>
    <t>差异方向</t>
  </si>
  <si>
    <t>状态</t>
  </si>
  <si>
    <t>差异率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</si>
  <si>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</si>
  <si>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</si>
  <si>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</si>
  <si>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</si>
  <si>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</si>
  <si>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</si>
  <si>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</si>
  <si>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</si>
  <si>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</si>
  <si>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</si>
  <si>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</si>
  <si>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</si>
  <si>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全年合计</t>
  </si>
  <si>
    <t>口径说明</t>
  </si>
  <si>
    <t>市场部 2025 年预算执行分析的使用范围、指标定义与数据说明</t>
  </si>
  <si>
    <t>项目</t>
  </si>
  <si>
    <t>说明</t>
  </si>
  <si>
    <t>数据属性</t>
  </si>
  <si>
    <t>本工作簿使用示例数据，仅用于展示市场部预算执行分析的结构与计算逻辑，不代表实际财务数据。</t>
  </si>
  <si>
    <t>金额单位</t>
  </si>
  <si>
    <t>人民币元。所有预算、实际支出和差异均按元展示，表内采用千分位格式。</t>
  </si>
  <si>
    <t>预算</t>
  </si>
  <si>
    <t>各月经批准或下达的市场费用额度。</t>
  </si>
  <si>
    <t>实际支出</t>
  </si>
  <si>
    <t>各月已发生并纳入分析范围的市场费用。</t>
  </si>
  <si>
    <t>差异</t>
  </si>
  <si>
    <t>差异 = 实际支出 - 预算。正值表示超预算，负值表示节约，零表示持平。</t>
  </si>
  <si>
    <t>执行率 = 实际支出 / 预算。预算为 0 时，公式返回 0，避免除零错误。</t>
  </si>
  <si>
    <t>状态规则</t>
  </si>
  <si>
    <t>执行率在 98%–102% 之间为“接近预算”；高于 100% 为“需关注”；其余为“执行良好”。</t>
  </si>
  <si>
    <t>颜色提示</t>
  </si>
  <si>
    <t>月度明细中：红色背景提示超预算、执行率高于 100%，或差异率绝对值超过 10%；绿色背景提示节约。颜色仅为辅助，具体结论应以数值和状态字段为准。</t>
  </si>
  <si>
    <t>图表说明</t>
  </si>
  <si>
    <t>主分析页折线图按 1–12 月完整展示预算与实际支出。两条线共用同一金额轴，便于比较月度偏离情况。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</si>
</sst>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0.0%"/>
  </numFmts>
  <fonts count="9">
    <font>
      <sz val="11"/>
      <color theme="1"/>
      <name val="Calibri"/>
      <family val="2"/>
      <scheme val="minor"/>
    </font>
    <font>
      <b/>
      <sz val="18"/>
      <color rgb="FFFFFFFF"/>
      <name val="Microsoft YaHei"/>
      <family val="2"/>
    </font>
    <font>
      <sz val="10"/>
      <color rgb="FF4B5563"/>
      <name val="Microsoft YaHei"/>
      <family val="2"/>
    </font>
    <font>
      <b/>
      <sz val="10"/>
      <color rgb="FFFFFFFF"/>
      <name val="Microsoft YaHei"/>
      <family val="2"/>
    </font>
    <font>
      <b/>
      <sz val="17"/>
      <color rgb="FF1F2937"/>
      <name val="Microsoft YaHei"/>
      <family val="2"/>
    </font>
    <font>
      <b/>
      <sz val="12"/>
      <color rgb="FFFFFFFF"/>
      <name val="Microsoft YaHei"/>
      <family val="2"/>
    </font>
    <font>
      <sz val="10"/>
      <color rgb="FF1F2937"/>
      <name val="Microsoft YaHei"/>
      <family val="2"/>
    </font>
    <font>
      <b/>
      <sz val="11"/>
      <color rgb="FFFFFFFF"/>
      <name val="Microsoft YaHei"/>
      <family val="2"/>
    </font>
    <font>
      <sz val="8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2E9C93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3F6F8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17365D"/>
      </left>
      <right style="thin">
        <color rgb="FF17365D"/>
      </right>
      <top style="thin">
        <color rgb="FF17365D"/>
      </top>
      <bottom style="thin">
        <color rgb="FF17365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165" fontId="4" fillId="6" borderId="1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7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right"/>
    </xf>
    <xf numFmtId="165" fontId="6" fillId="0" borderId="1" xfId="0" applyNumberFormat="1" applyFont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164" fontId="6" fillId="8" borderId="1" xfId="0" applyNumberFormat="1" applyFont="1" applyFill="1" applyBorder="1" applyAlignment="1">
      <alignment horizontal="right"/>
    </xf>
    <xf numFmtId="165" fontId="6" fillId="8" borderId="1" xfId="0" applyNumberFormat="1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164" fontId="7" fillId="2" borderId="2" xfId="0" applyNumberFormat="1" applyFont="1" applyFill="1" applyBorder="1" applyAlignment="1">
      <alignment horizontal="right"/>
    </xf>
    <xf numFmtId="165" fontId="7" fillId="2" borderId="2" xfId="0" applyNumberFormat="1" applyFont="1" applyFill="1" applyBorder="1" applyAlignment="1">
      <alignment horizontal="center"/>
    </xf>
    <xf numFmtId="0" fontId="6" fillId="9" borderId="1" xfId="0" applyFont="1" applyFill="1" applyBorder="1" applyAlignment="1">
      <alignment vertical="center" wrapText="1"/>
    </xf>
    <xf numFmtId="0" fontId="6" fillId="8" borderId="1" xfId="0" applyFont="1" applyFill="1" applyBorder="1" applyAlignment="1">
      <alignment vertical="center" wrapText="1"/>
    </xf>
  </cellXfs>
  <cellStyles count="1">
    <cellStyle name="Normal" xfId="0" builtinId="0"/>
  </cellStyles>
  <dxfs count="3">
    <dxf>
      <font>
        <b/>
        <color rgb="FF9C0006"/>
      </font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2025 年月度预算与实际支出趋势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'月度明细'!$B$4</c:f>
              <c:strCache>
                <c:ptCount val="1"/>
                <c:pt idx="0">
                  <c:v>预算（元）</c:v>
                </c:pt>
              </c:strCache>
            </c:strRef>
          </c:tx>
          <c:spPr>
            <a:ln w="28575">
              <a:solidFill>
                <a:srgbClr val="2F75B5"/>
              </a:solidFill>
            </a:ln>
          </c:spPr>
          <c:marker>
            <c:symbol val="none"/>
          </c:marker>
          <c:cat>
            <c:strRef>
              <c:f>'月度明细'!$A$5:$A$16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'月度明细'!$B$5:$B$16</c:f>
              <c:numCache>
                <c:formatCode>General</c:formatCode>
                <c:ptCount val="12"/>
                <c:pt idx="0">
                  <c:v>420000</c:v>
                </c:pt>
                <c:pt idx="1">
                  <c:v>380000</c:v>
                </c:pt>
                <c:pt idx="2">
                  <c:v>410000</c:v>
                </c:pt>
                <c:pt idx="3">
                  <c:v>460000</c:v>
                </c:pt>
                <c:pt idx="4">
                  <c:v>520000</c:v>
                </c:pt>
                <c:pt idx="5">
                  <c:v>480000</c:v>
                </c:pt>
                <c:pt idx="6">
                  <c:v>450000</c:v>
                </c:pt>
                <c:pt idx="7">
                  <c:v>490000</c:v>
                </c:pt>
                <c:pt idx="8">
                  <c:v>560000</c:v>
                </c:pt>
                <c:pt idx="9">
                  <c:v>610000</c:v>
                </c:pt>
                <c:pt idx="10">
                  <c:v>580000</c:v>
                </c:pt>
                <c:pt idx="11">
                  <c:v>720000</c:v>
                </c:pt>
              </c:numCache>
            </c:numRef>
          </c:val>
        </c:ser>
        <c:ser>
          <c:idx val="1"/>
          <c:order val="1"/>
          <c:tx>
            <c:strRef>
              <c:f>'月度明细'!$C$4</c:f>
              <c:strCache>
                <c:ptCount val="1"/>
                <c:pt idx="0">
                  <c:v>实际支出（元）</c:v>
                </c:pt>
              </c:strCache>
            </c:strRef>
          </c:tx>
          <c:spPr>
            <a:ln w="28575">
              <a:solidFill>
                <a:srgbClr val="2E9C93"/>
              </a:solidFill>
            </a:ln>
          </c:spPr>
          <c:marker>
            <c:symbol val="none"/>
          </c:marker>
          <c:cat>
            <c:strRef>
              <c:f>'月度明细'!$A$5:$A$16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'月度明细'!$C$5:$C$16</c:f>
              <c:numCache>
                <c:formatCode>General</c:formatCode>
                <c:ptCount val="12"/>
                <c:pt idx="0">
                  <c:v>398000</c:v>
                </c:pt>
                <c:pt idx="1">
                  <c:v>402000</c:v>
                </c:pt>
                <c:pt idx="2">
                  <c:v>409000</c:v>
                </c:pt>
                <c:pt idx="3">
                  <c:v>482000</c:v>
                </c:pt>
                <c:pt idx="4">
                  <c:v>511000</c:v>
                </c:pt>
                <c:pt idx="5">
                  <c:v>471000</c:v>
                </c:pt>
                <c:pt idx="6">
                  <c:v>468000</c:v>
                </c:pt>
                <c:pt idx="7">
                  <c:v>487000</c:v>
                </c:pt>
                <c:pt idx="8">
                  <c:v>589000</c:v>
                </c:pt>
                <c:pt idx="9">
                  <c:v>593000</c:v>
                </c:pt>
                <c:pt idx="10">
                  <c:v>584000</c:v>
                </c:pt>
                <c:pt idx="11">
                  <c:v>746000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月份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金额（元）</a:t>
                </a:r>
              </a:p>
            </c:rich>
          </c:tx>
          <c:layout/>
        </c:title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6</xdr:col>
      <xdr:colOff>647700</xdr:colOff>
      <xdr:row>29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MonthlyBudgetDetail" displayName="MonthlyBudgetDetail" ref="A4:H16" totalsRowShown="0">
  <autoFilter ref="A4:H16"/>
  <tableColumns count="8">
    <tableColumn id="1" name="月份"/>
    <tableColumn id="2" name="预算（元）"/>
    <tableColumn id="3" name="实际支出（元）"/>
    <tableColumn id="4" name="差异（元）"/>
    <tableColumn id="5" name="执行率"/>
    <tableColumn id="6" name="差异方向"/>
    <tableColumn id="7" name="状态"/>
    <tableColumn id="8" name="差异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table" Target="../tables/table1.xml"/><Relationship Id="rId3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0"/>
  <sheetViews>
    <sheetView showGridLines="0" tabSelected="1" workbookViewId="0">
      <pane ySplit="3" topLeftCell="A4" activePane="bottomLeft" state="frozen"/>
      <selection pane="bottomLeft"/>
    </sheetView>
  </sheetViews>
  <sheetFormatPr defaultRowHeight="15"/>
  <cols>
    <col min="1" max="8" width="16.7109375" customWidth="1"/>
  </cols>
  <sheetData>
    <row r="1" spans="1:8" ht="31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2" customHeight="1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3" t="s">
        <v>2</v>
      </c>
      <c r="B4" s="3"/>
      <c r="C4" s="4" t="s">
        <v>3</v>
      </c>
      <c r="D4" s="4"/>
      <c r="E4" s="5" t="s">
        <v>4</v>
      </c>
      <c r="F4" s="5"/>
      <c r="G4" s="6" t="s">
        <v>5</v>
      </c>
      <c r="H4" s="6"/>
    </row>
    <row r="5" spans="1:8">
      <c r="A5" s="7">
        <f>'月度明细'!B17</f>
        <v>6080000</v>
      </c>
      <c r="B5" s="7"/>
      <c r="C5" s="7">
        <f>'月度明细'!C17</f>
        <v>6140000</v>
      </c>
      <c r="D5" s="7"/>
      <c r="E5" s="7">
        <f>'月度明细'!D17</f>
        <v>60000</v>
      </c>
      <c r="F5" s="7"/>
      <c r="G5" s="8">
        <f>'月度明细'!E17</f>
        <v>1.0098684210526316</v>
      </c>
      <c r="H5" s="8"/>
    </row>
    <row r="6" spans="1:8">
      <c r="A6" s="7"/>
      <c r="B6" s="7"/>
      <c r="C6" s="7"/>
      <c r="D6" s="7"/>
      <c r="E6" s="7"/>
      <c r="F6" s="7"/>
      <c r="G6" s="8"/>
      <c r="H6" s="8"/>
    </row>
    <row r="8" spans="1:8" ht="24" customHeight="1">
      <c r="A8" s="9" t="s">
        <v>6</v>
      </c>
      <c r="B8" s="9"/>
      <c r="C8" s="9"/>
      <c r="D8" s="9"/>
      <c r="E8" s="9"/>
      <c r="F8" s="9"/>
      <c r="G8" s="9"/>
      <c r="H8" s="9"/>
    </row>
    <row r="9" spans="1:8" ht="23" customHeight="1">
      <c r="A9" s="10" t="s">
        <v>7</v>
      </c>
      <c r="B9" s="10"/>
      <c r="C9" s="10"/>
      <c r="D9" s="10"/>
      <c r="E9" s="10"/>
      <c r="F9" s="10"/>
      <c r="G9" s="10"/>
      <c r="H9" s="10"/>
    </row>
    <row r="10" spans="1:8" ht="23" customHeight="1">
      <c r="A10" s="10"/>
      <c r="B10" s="10"/>
      <c r="C10" s="10"/>
      <c r="D10" s="10"/>
      <c r="E10" s="10"/>
      <c r="F10" s="10"/>
      <c r="G10" s="10"/>
      <c r="H10" s="10"/>
    </row>
  </sheetData>
  <mergeCells count="12">
    <mergeCell ref="A1:H1"/>
    <mergeCell ref="A2:H2"/>
    <mergeCell ref="A4:B4"/>
    <mergeCell ref="A5:B6"/>
    <mergeCell ref="C4:D4"/>
    <mergeCell ref="C5:D6"/>
    <mergeCell ref="E4:F4"/>
    <mergeCell ref="E5:F6"/>
    <mergeCell ref="G4:H4"/>
    <mergeCell ref="G5:H6"/>
    <mergeCell ref="A8:H8"/>
    <mergeCell ref="A9:H10"/>
  </mergeCells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0"/>
  <sheetViews>
    <sheetView showGridLines="0" workbookViewId="0">
      <pane ySplit="7" topLeftCell="A8" activePane="bottomLeft" state="frozen"/>
      <selection pane="bottomLeft"/>
    </sheetView>
  </sheetViews>
  <sheetFormatPr defaultRowHeight="15"/>
  <cols>
    <col min="1" max="8" width="16.7109375" customWidth="1"/>
  </cols>
  <sheetData>
    <row r="1" spans="1:8" ht="31" customHeight="1">
      <c r="A1" s="1" t="s">
        <v>8</v>
      </c>
      <c r="B1" s="1"/>
      <c r="C1" s="1"/>
      <c r="D1" s="1"/>
      <c r="E1" s="1"/>
      <c r="F1" s="1"/>
      <c r="G1" s="1"/>
      <c r="H1" s="1"/>
    </row>
    <row r="2" spans="1:8" ht="22" customHeight="1">
      <c r="A2" s="2" t="s">
        <v>9</v>
      </c>
      <c r="B2" s="2"/>
      <c r="C2" s="2"/>
      <c r="D2" s="2"/>
      <c r="E2" s="2"/>
      <c r="F2" s="2"/>
      <c r="G2" s="2"/>
      <c r="H2" s="2"/>
    </row>
    <row r="4" spans="1:8">
      <c r="A4" s="9" t="s">
        <v>10</v>
      </c>
      <c r="B4" s="9"/>
      <c r="C4" s="9"/>
      <c r="D4" s="9"/>
      <c r="E4" s="9"/>
      <c r="F4" s="9"/>
      <c r="G4" s="9"/>
      <c r="H4" s="9"/>
    </row>
    <row r="5" spans="1:8" ht="24" customHeight="1">
      <c r="A5" s="10" t="s">
        <v>11</v>
      </c>
      <c r="B5" s="10"/>
      <c r="C5" s="10"/>
      <c r="D5" s="10"/>
      <c r="E5" s="10"/>
      <c r="F5" s="10"/>
      <c r="G5" s="10"/>
      <c r="H5" s="10"/>
    </row>
    <row r="6" spans="1:8" ht="24" customHeight="1">
      <c r="A6" s="10"/>
      <c r="B6" s="10"/>
      <c r="C6" s="10"/>
      <c r="D6" s="10"/>
      <c r="E6" s="10"/>
      <c r="F6" s="10"/>
      <c r="G6" s="10"/>
      <c r="H6" s="10"/>
    </row>
    <row r="8" spans="1:8">
      <c r="A8" s="11" t="s">
        <v>2</v>
      </c>
      <c r="B8" s="11"/>
      <c r="D8" s="11" t="s">
        <v>3</v>
      </c>
      <c r="E8" s="11"/>
      <c r="G8" s="11" t="s">
        <v>4</v>
      </c>
      <c r="H8" s="11"/>
    </row>
    <row r="9" spans="1:8">
      <c r="A9" s="7">
        <f>'月度明细'!B17</f>
        <v>6080000</v>
      </c>
      <c r="B9" s="7"/>
      <c r="D9" s="7">
        <f>'月度明细'!C17</f>
        <v>6140000</v>
      </c>
      <c r="E9" s="7"/>
      <c r="G9" s="7">
        <f>'月度明细'!D17</f>
        <v>60000</v>
      </c>
      <c r="H9" s="7"/>
    </row>
    <row r="10" spans="1:8">
      <c r="A10" s="7"/>
      <c r="B10" s="7"/>
      <c r="D10" s="7"/>
      <c r="E10" s="7"/>
      <c r="G10" s="7"/>
      <c r="H10" s="7"/>
    </row>
    <row r="11" spans="1:8">
      <c r="A11" s="11" t="s">
        <v>5</v>
      </c>
      <c r="B11" s="11"/>
      <c r="D11" s="11" t="s">
        <v>12</v>
      </c>
      <c r="E11" s="11"/>
      <c r="G11" s="11" t="s">
        <v>13</v>
      </c>
      <c r="H11" s="11"/>
    </row>
    <row r="12" spans="1:8">
      <c r="A12" s="8">
        <f>'月度明细'!E17</f>
        <v>1.0098684210526316</v>
      </c>
      <c r="B12" s="8"/>
      <c r="D12" s="7">
        <f>COUNTIF('月度明细'!H5:H16,"&gt;10%")+COUNTIF('月度明细'!H5:H16,"&lt;-10%")</f>
        <v>0</v>
      </c>
      <c r="E12" s="7"/>
      <c r="G12" s="7" t="str">
        <f>INDEX('月度明细'!A5:A16,MATCH(MAX('月度明细'!D5:D16),'月度明细'!D5:D16,0))</f>
        <v>9月</v>
      </c>
      <c r="H12" s="7"/>
    </row>
    <row r="13" spans="1:8">
      <c r="A13" s="8"/>
      <c r="B13" s="8"/>
      <c r="D13" s="7"/>
      <c r="E13" s="7"/>
      <c r="G13" s="7"/>
      <c r="H13" s="7"/>
    </row>
    <row r="15" spans="1:8">
      <c r="A15" s="9" t="s">
        <v>14</v>
      </c>
      <c r="B15" s="9"/>
      <c r="C15" s="9"/>
      <c r="D15" s="9"/>
      <c r="E15" s="9"/>
      <c r="F15" s="9"/>
      <c r="G15" s="9"/>
      <c r="H15" s="9"/>
    </row>
    <row r="16" spans="1:8" ht="24" customHeight="1">
      <c r="A16" s="10" t="s">
        <v>15</v>
      </c>
      <c r="B16" s="10"/>
      <c r="C16" s="10"/>
      <c r="D16" s="10"/>
      <c r="E16" s="10"/>
      <c r="F16" s="10"/>
      <c r="G16" s="10"/>
      <c r="H16" s="10"/>
    </row>
    <row r="17" spans="1:8" ht="24" customHeight="1">
      <c r="A17" s="10"/>
      <c r="B17" s="10"/>
      <c r="C17" s="10"/>
      <c r="D17" s="10"/>
      <c r="E17" s="10"/>
      <c r="F17" s="10"/>
      <c r="G17" s="10"/>
      <c r="H17" s="10"/>
    </row>
    <row r="18" spans="1:8" ht="24" customHeight="1">
      <c r="A18" s="10"/>
      <c r="B18" s="10"/>
      <c r="C18" s="10"/>
      <c r="D18" s="10"/>
      <c r="E18" s="10"/>
      <c r="F18" s="10"/>
      <c r="G18" s="10"/>
      <c r="H18" s="10"/>
    </row>
    <row r="19" spans="1:8" ht="24" customHeight="1">
      <c r="A19" s="10"/>
      <c r="B19" s="10"/>
      <c r="C19" s="10"/>
      <c r="D19" s="10"/>
      <c r="E19" s="10"/>
      <c r="F19" s="10"/>
      <c r="G19" s="10"/>
      <c r="H19" s="10"/>
    </row>
    <row r="20" spans="1:8" ht="24" customHeight="1"/>
  </sheetData>
  <mergeCells count="18">
    <mergeCell ref="A1:H1"/>
    <mergeCell ref="A2:H2"/>
    <mergeCell ref="A4:H4"/>
    <mergeCell ref="A5:H6"/>
    <mergeCell ref="A8:B8"/>
    <mergeCell ref="A9:B10"/>
    <mergeCell ref="D8:E8"/>
    <mergeCell ref="D9:E10"/>
    <mergeCell ref="G8:H8"/>
    <mergeCell ref="G9:H10"/>
    <mergeCell ref="A11:B11"/>
    <mergeCell ref="A12:B13"/>
    <mergeCell ref="D11:E11"/>
    <mergeCell ref="D12:E13"/>
    <mergeCell ref="G11:H11"/>
    <mergeCell ref="G12:H13"/>
    <mergeCell ref="A15:H15"/>
    <mergeCell ref="A16:H19"/>
  </mergeCells>
  <pageMargins left="0.7" right="0.7" top="0.75" bottom="0.75" header="0.3" footer="0.3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7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4" width="18.7109375" customWidth="1"/>
    <col min="5" max="5" width="12.7109375" customWidth="1"/>
    <col min="6" max="7" width="14.7109375" customWidth="1"/>
    <col min="8" max="8" width="12.7109375" customWidth="1"/>
  </cols>
  <sheetData>
    <row r="1" spans="1:8" ht="31" customHeight="1">
      <c r="A1" s="1" t="s">
        <v>16</v>
      </c>
      <c r="B1" s="1"/>
      <c r="C1" s="1"/>
      <c r="D1" s="1"/>
      <c r="E1" s="1"/>
      <c r="F1" s="1"/>
      <c r="G1" s="1"/>
      <c r="H1" s="1"/>
    </row>
    <row r="2" spans="1:8" ht="22" customHeight="1">
      <c r="A2" s="2" t="s">
        <v>17</v>
      </c>
      <c r="B2" s="2"/>
      <c r="C2" s="2"/>
      <c r="D2" s="2"/>
      <c r="E2" s="2"/>
      <c r="F2" s="2"/>
      <c r="G2" s="2"/>
      <c r="H2" s="2"/>
    </row>
    <row r="4" spans="1:8" ht="25" customHeight="1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pans="1:8">
      <c r="A5" s="12" t="s">
        <v>26</v>
      </c>
      <c r="B5" s="13">
        <v>420000</v>
      </c>
      <c r="C5" s="13">
        <v>398000</v>
      </c>
      <c r="D5" s="13">
        <f>C5-B5</f>
        <v>-22000</v>
      </c>
      <c r="E5" s="14">
        <f>IFERROR(C5/B5,0)</f>
        <v>0.9476190476190476</v>
      </c>
      <c r="F5" s="12" t="str">
        <f>IF(D5&gt;0,"超预算",IF(D5&lt;0,"节约","持平"))</f>
        <v>节约</v>
      </c>
      <c r="G5" s="12" t="str">
        <f>IF(ABS(E5-1)&lt;=0.02,"接近预算",IF(E5&gt;1,"需关注","执行良好"))</f>
        <v>执行良好</v>
      </c>
      <c r="H5" s="14">
        <f>IFERROR(D5/B5,0)</f>
        <v>-0.05238095238095238</v>
      </c>
    </row>
    <row r="6" spans="1:8">
      <c r="A6" s="15" t="s">
        <v>27</v>
      </c>
      <c r="B6" s="16">
        <v>380000</v>
      </c>
      <c r="C6" s="16">
        <v>402000</v>
      </c>
      <c r="D6" s="16">
        <f>C6-B6</f>
        <v>22000</v>
      </c>
      <c r="E6" s="17">
        <f>IFERROR(C6/B6,0)</f>
        <v>1.0578947368421052</v>
      </c>
      <c r="F6" s="15" t="str">
        <f>IF(D6&gt;0,"超预算",IF(D6&lt;0,"节约","持平"))</f>
        <v>超预算</v>
      </c>
      <c r="G6" s="15" t="str">
        <f>IF(ABS(E6-1)&lt;=0.02,"接近预算",IF(E6&gt;1,"需关注","执行良好"))</f>
        <v>需关注</v>
      </c>
      <c r="H6" s="17">
        <f>IFERROR(D6/B6,0)</f>
        <v>0.05789473684210526</v>
      </c>
    </row>
    <row r="7" spans="1:8">
      <c r="A7" s="12" t="s">
        <v>28</v>
      </c>
      <c r="B7" s="13">
        <v>410000</v>
      </c>
      <c r="C7" s="13">
        <v>409000</v>
      </c>
      <c r="D7" s="13">
        <f>C7-B7</f>
        <v>-1000</v>
      </c>
      <c r="E7" s="14">
        <f>IFERROR(C7/B7,0)</f>
        <v>0.9975609756097561</v>
      </c>
      <c r="F7" s="12" t="str">
        <f>IF(D7&gt;0,"超预算",IF(D7&lt;0,"节约","持平"))</f>
        <v>节约</v>
      </c>
      <c r="G7" s="12" t="str">
        <f>IF(ABS(E7-1)&lt;=0.02,"接近预算",IF(E7&gt;1,"需关注","执行良好"))</f>
        <v>接近预算</v>
      </c>
      <c r="H7" s="14">
        <f>IFERROR(D7/B7,0)</f>
        <v>-0.0024390243902439024</v>
      </c>
    </row>
    <row r="8" spans="1:8">
      <c r="A8" s="15" t="s">
        <v>29</v>
      </c>
      <c r="B8" s="16">
        <v>460000</v>
      </c>
      <c r="C8" s="16">
        <v>482000</v>
      </c>
      <c r="D8" s="16">
        <f>C8-B8</f>
        <v>22000</v>
      </c>
      <c r="E8" s="17">
        <f>IFERROR(C8/B8,0)</f>
        <v>1.0478260869565217</v>
      </c>
      <c r="F8" s="15" t="str">
        <f>IF(D8&gt;0,"超预算",IF(D8&lt;0,"节约","持平"))</f>
        <v>超预算</v>
      </c>
      <c r="G8" s="15" t="str">
        <f>IF(ABS(E8-1)&lt;=0.02,"接近预算",IF(E8&gt;1,"需关注","执行良好"))</f>
        <v>需关注</v>
      </c>
      <c r="H8" s="17">
        <f>IFERROR(D8/B8,0)</f>
        <v>0.04782608695652174</v>
      </c>
    </row>
    <row r="9" spans="1:8">
      <c r="A9" s="12" t="s">
        <v>30</v>
      </c>
      <c r="B9" s="13">
        <v>520000</v>
      </c>
      <c r="C9" s="13">
        <v>511000</v>
      </c>
      <c r="D9" s="13">
        <f>C9-B9</f>
        <v>-9000</v>
      </c>
      <c r="E9" s="14">
        <f>IFERROR(C9/B9,0)</f>
        <v>0.9826923076923076</v>
      </c>
      <c r="F9" s="12" t="str">
        <f>IF(D9&gt;0,"超预算",IF(D9&lt;0,"节约","持平"))</f>
        <v>节约</v>
      </c>
      <c r="G9" s="12" t="str">
        <f>IF(ABS(E9-1)&lt;=0.02,"接近预算",IF(E9&gt;1,"需关注","执行良好"))</f>
        <v>接近预算</v>
      </c>
      <c r="H9" s="14">
        <f>IFERROR(D9/B9,0)</f>
        <v>-0.01730769230769231</v>
      </c>
    </row>
    <row r="10" spans="1:8">
      <c r="A10" s="15" t="s">
        <v>31</v>
      </c>
      <c r="B10" s="16">
        <v>480000</v>
      </c>
      <c r="C10" s="16">
        <v>471000</v>
      </c>
      <c r="D10" s="16">
        <f>C10-B10</f>
        <v>-9000</v>
      </c>
      <c r="E10" s="17">
        <f>IFERROR(C10/B10,0)</f>
        <v>0.98125</v>
      </c>
      <c r="F10" s="15" t="str">
        <f>IF(D10&gt;0,"超预算",IF(D10&lt;0,"节约","持平"))</f>
        <v>节约</v>
      </c>
      <c r="G10" s="15" t="str">
        <f>IF(ABS(E10-1)&lt;=0.02,"接近预算",IF(E10&gt;1,"需关注","执行良好"))</f>
        <v>接近预算</v>
      </c>
      <c r="H10" s="17">
        <f>IFERROR(D10/B10,0)</f>
        <v>-0.01875</v>
      </c>
    </row>
    <row r="11" spans="1:8">
      <c r="A11" s="12" t="s">
        <v>32</v>
      </c>
      <c r="B11" s="13">
        <v>450000</v>
      </c>
      <c r="C11" s="13">
        <v>468000</v>
      </c>
      <c r="D11" s="13">
        <f>C11-B11</f>
        <v>18000</v>
      </c>
      <c r="E11" s="14">
        <f>IFERROR(C11/B11,0)</f>
        <v>1.04</v>
      </c>
      <c r="F11" s="12" t="str">
        <f>IF(D11&gt;0,"超预算",IF(D11&lt;0,"节约","持平"))</f>
        <v>超预算</v>
      </c>
      <c r="G11" s="12" t="str">
        <f>IF(ABS(E11-1)&lt;=0.02,"接近预算",IF(E11&gt;1,"需关注","执行良好"))</f>
        <v>需关注</v>
      </c>
      <c r="H11" s="14">
        <f>IFERROR(D11/B11,0)</f>
        <v>0.04</v>
      </c>
    </row>
    <row r="12" spans="1:8">
      <c r="A12" s="15" t="s">
        <v>33</v>
      </c>
      <c r="B12" s="16">
        <v>490000</v>
      </c>
      <c r="C12" s="16">
        <v>487000</v>
      </c>
      <c r="D12" s="16">
        <f>C12-B12</f>
        <v>-3000</v>
      </c>
      <c r="E12" s="17">
        <f>IFERROR(C12/B12,0)</f>
        <v>0.9938775510204082</v>
      </c>
      <c r="F12" s="15" t="str">
        <f>IF(D12&gt;0,"超预算",IF(D12&lt;0,"节约","持平"))</f>
        <v>节约</v>
      </c>
      <c r="G12" s="15" t="str">
        <f>IF(ABS(E12-1)&lt;=0.02,"接近预算",IF(E12&gt;1,"需关注","执行良好"))</f>
        <v>接近预算</v>
      </c>
      <c r="H12" s="17">
        <f>IFERROR(D12/B12,0)</f>
        <v>-0.006122448979591836</v>
      </c>
    </row>
    <row r="13" spans="1:8">
      <c r="A13" s="12" t="s">
        <v>34</v>
      </c>
      <c r="B13" s="13">
        <v>560000</v>
      </c>
      <c r="C13" s="13">
        <v>589000</v>
      </c>
      <c r="D13" s="13">
        <f>C13-B13</f>
        <v>29000</v>
      </c>
      <c r="E13" s="14">
        <f>IFERROR(C13/B13,0)</f>
        <v>1.0517857142857143</v>
      </c>
      <c r="F13" s="12" t="str">
        <f>IF(D13&gt;0,"超预算",IF(D13&lt;0,"节约","持平"))</f>
        <v>超预算</v>
      </c>
      <c r="G13" s="12" t="str">
        <f>IF(ABS(E13-1)&lt;=0.02,"接近预算",IF(E13&gt;1,"需关注","执行良好"))</f>
        <v>需关注</v>
      </c>
      <c r="H13" s="14">
        <f>IFERROR(D13/B13,0)</f>
        <v>0.05178571428571429</v>
      </c>
    </row>
    <row r="14" spans="1:8">
      <c r="A14" s="15" t="s">
        <v>35</v>
      </c>
      <c r="B14" s="16">
        <v>610000</v>
      </c>
      <c r="C14" s="16">
        <v>593000</v>
      </c>
      <c r="D14" s="16">
        <f>C14-B14</f>
        <v>-17000</v>
      </c>
      <c r="E14" s="17">
        <f>IFERROR(C14/B14,0)</f>
        <v>0.9721311475409836</v>
      </c>
      <c r="F14" s="15" t="str">
        <f>IF(D14&gt;0,"超预算",IF(D14&lt;0,"节约","持平"))</f>
        <v>节约</v>
      </c>
      <c r="G14" s="15" t="str">
        <f>IF(ABS(E14-1)&lt;=0.02,"接近预算",IF(E14&gt;1,"需关注","执行良好"))</f>
        <v>执行良好</v>
      </c>
      <c r="H14" s="17">
        <f>IFERROR(D14/B14,0)</f>
        <v>-0.027868852459016394</v>
      </c>
    </row>
    <row r="15" spans="1:8">
      <c r="A15" s="12" t="s">
        <v>36</v>
      </c>
      <c r="B15" s="13">
        <v>580000</v>
      </c>
      <c r="C15" s="13">
        <v>584000</v>
      </c>
      <c r="D15" s="13">
        <f>C15-B15</f>
        <v>4000</v>
      </c>
      <c r="E15" s="14">
        <f>IFERROR(C15/B15,0)</f>
        <v>1.006896551724138</v>
      </c>
      <c r="F15" s="12" t="str">
        <f>IF(D15&gt;0,"超预算",IF(D15&lt;0,"节约","持平"))</f>
        <v>超预算</v>
      </c>
      <c r="G15" s="12" t="str">
        <f>IF(ABS(E15-1)&lt;=0.02,"接近预算",IF(E15&gt;1,"需关注","执行良好"))</f>
        <v>接近预算</v>
      </c>
      <c r="H15" s="14">
        <f>IFERROR(D15/B15,0)</f>
        <v>0.006896551724137931</v>
      </c>
    </row>
    <row r="16" spans="1:8">
      <c r="A16" s="15" t="s">
        <v>37</v>
      </c>
      <c r="B16" s="16">
        <v>720000</v>
      </c>
      <c r="C16" s="16">
        <v>746000</v>
      </c>
      <c r="D16" s="16">
        <f>C16-B16</f>
        <v>26000</v>
      </c>
      <c r="E16" s="17">
        <f>IFERROR(C16/B16,0)</f>
        <v>1.0361111111111112</v>
      </c>
      <c r="F16" s="15" t="str">
        <f>IF(D16&gt;0,"超预算",IF(D16&lt;0,"节约","持平"))</f>
        <v>超预算</v>
      </c>
      <c r="G16" s="15" t="str">
        <f>IF(ABS(E16-1)&lt;=0.02,"接近预算",IF(E16&gt;1,"需关注","执行良好"))</f>
        <v>需关注</v>
      </c>
      <c r="H16" s="17">
        <f>IFERROR(D16/B16,0)</f>
        <v>0.03611111111111111</v>
      </c>
    </row>
    <row r="17" spans="1:8">
      <c r="A17" s="18" t="s">
        <v>38</v>
      </c>
      <c r="B17" s="19">
        <f>SUM(B5:B16)</f>
        <v>6080000</v>
      </c>
      <c r="C17" s="19">
        <f>SUM(C5:C16)</f>
        <v>6140000</v>
      </c>
      <c r="D17" s="19">
        <f>C17-B17</f>
        <v>60000</v>
      </c>
      <c r="E17" s="20">
        <f>IFERROR(C17/B17,0)</f>
        <v>1.0098684210526316</v>
      </c>
      <c r="F17" s="18" t="str">
        <f>IF(D17&gt;0,"超预算",IF(D17&lt;0,"节约","持平"))</f>
        <v>超预算</v>
      </c>
      <c r="G17" s="18" t="str">
        <f>IF(ABS(E17-1)&lt;=0.02,"接近预算",IF(E17&gt;1,"需关注","执行良好"))</f>
        <v>接近预算</v>
      </c>
      <c r="H17" s="20">
        <f>IFERROR(D17/B17,0)</f>
        <v>0.009868421052631578</v>
      </c>
    </row>
  </sheetData>
  <mergeCells count="2">
    <mergeCell ref="A1:H1"/>
    <mergeCell ref="A2:H2"/>
  </mergeCells>
  <conditionalFormatting sqref="A5:A16">
    <cfRule type="expression" dxfId="0" priority="1">
      <formula>ABS($H5)&gt;10%</formula>
    </cfRule>
  </conditionalFormatting>
  <conditionalFormatting sqref="D5:D17">
    <cfRule type="cellIs" dxfId="1" priority="4" operator="greaterThan">
      <formula>0</formula>
    </cfRule>
    <cfRule type="cellIs" dxfId="2" priority="5" operator="lessThan">
      <formula>0</formula>
    </cfRule>
  </conditionalFormatting>
  <conditionalFormatting sqref="E5:E17">
    <cfRule type="cellIs" dxfId="1" priority="6" operator="greaterThan">
      <formula>1</formula>
    </cfRule>
  </conditionalFormatting>
  <conditionalFormatting sqref="H5:H17">
    <cfRule type="cellIs" dxfId="0" priority="2" operator="greaterThan">
      <formula>0.1</formula>
    </cfRule>
    <cfRule type="cellIs" dxfId="0" priority="3" operator="lessThan">
      <formula>-0.1</formula>
    </cfRule>
  </conditionalFormatting>
  <pageMargins left="0.7" right="0.7" top="0.75" bottom="0.75" header="0.3" footer="0.3"/>
  <pageSetup orientation="landscape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3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8.7109375" customWidth="1"/>
    <col min="2" max="2" width="92.7109375" customWidth="1"/>
  </cols>
  <sheetData>
    <row r="1" spans="1:4" ht="31" customHeight="1">
      <c r="A1" s="1" t="s">
        <v>39</v>
      </c>
      <c r="B1" s="1"/>
      <c r="C1" s="1"/>
      <c r="D1" s="1"/>
    </row>
    <row r="2" spans="1:4" ht="22" customHeight="1">
      <c r="A2" s="2" t="s">
        <v>40</v>
      </c>
      <c r="B2" s="2"/>
      <c r="C2" s="2"/>
      <c r="D2" s="2"/>
    </row>
    <row r="4" spans="1:4" ht="26" customHeight="1">
      <c r="A4" s="11" t="s">
        <v>41</v>
      </c>
      <c r="B4" s="11" t="s">
        <v>42</v>
      </c>
    </row>
    <row r="5" spans="1:4" ht="45" customHeight="1">
      <c r="A5" s="21" t="s">
        <v>43</v>
      </c>
      <c r="B5" s="21" t="s">
        <v>44</v>
      </c>
    </row>
    <row r="6" spans="1:4" ht="45" customHeight="1">
      <c r="A6" s="22" t="s">
        <v>45</v>
      </c>
      <c r="B6" s="22" t="s">
        <v>46</v>
      </c>
    </row>
    <row r="7" spans="1:4" ht="45" customHeight="1">
      <c r="A7" s="21" t="s">
        <v>47</v>
      </c>
      <c r="B7" s="21" t="s">
        <v>48</v>
      </c>
    </row>
    <row r="8" spans="1:4" ht="45" customHeight="1">
      <c r="A8" s="22" t="s">
        <v>49</v>
      </c>
      <c r="B8" s="22" t="s">
        <v>50</v>
      </c>
    </row>
    <row r="9" spans="1:4" ht="45" customHeight="1">
      <c r="A9" s="21" t="s">
        <v>51</v>
      </c>
      <c r="B9" s="21" t="s">
        <v>52</v>
      </c>
    </row>
    <row r="10" spans="1:4" ht="45" customHeight="1">
      <c r="A10" s="22" t="s">
        <v>22</v>
      </c>
      <c r="B10" s="22" t="s">
        <v>53</v>
      </c>
    </row>
    <row r="11" spans="1:4" ht="45" customHeight="1">
      <c r="A11" s="21" t="s">
        <v>54</v>
      </c>
      <c r="B11" s="21" t="s">
        <v>55</v>
      </c>
    </row>
    <row r="12" spans="1:4" ht="45" customHeight="1">
      <c r="A12" s="22" t="s">
        <v>56</v>
      </c>
      <c r="B12" s="22" t="s">
        <v>57</v>
      </c>
    </row>
    <row r="13" spans="1:4" ht="45" customHeight="1">
      <c r="A13" s="21" t="s">
        <v>58</v>
      </c>
      <c r="B13" s="21" t="s">
        <v>59</v>
      </c>
    </row>
  </sheetData>
  <mergeCells count="2">
    <mergeCell ref="A1:D1"/>
    <mergeCell ref="A2:D2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预算执行分析</vt:lpstr>
      <vt:lpstr>领导结论</vt:lpstr>
      <vt:lpstr>月度明细</vt:lpstr>
      <vt:lpstr>口径说明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市场部2025年预算执行分析</dc:title>
  <dc:subject>预算与实际支出月度差异分析</dc:subject>
  <dc:creator>OpenAI</dc:creator>
  <cp:lastModifiedBy>OpenAI</cp:lastModifiedBy>
  <dcterms:created xsi:type="dcterms:W3CDTF">2026-10-01T06:49:48Z</dcterms:created>
  <dcterms:modified xsi:type="dcterms:W3CDTF">2026-10-01T06:49:48Z</dcterms:modified>
</cp:coreProperties>
</file>