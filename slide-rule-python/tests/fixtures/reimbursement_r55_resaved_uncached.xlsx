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-明细" sheetId="2" state="visible" r:id="rId2"/>
    <sheet xmlns:r="http://schemas.openxmlformats.org/officeDocument/2006/relationships" name="02-部门汇总" sheetId="3" state="visible" r:id="rId3"/>
    <sheet xmlns:r="http://schemas.openxmlformats.org/officeDocument/2006/relationships" name="99-日志" sheetId="4" state="visible" r:id="rId4"/>
  </sheets>
  <definedNames>
    <definedName name="_xlnm._FilterDatabase" localSheetId="1" hidden="1">'01-明细'!$A$1:$K$7</definedName>
    <definedName name="_xlnm._FilterDatabase" localSheetId="2" hidden="1">'02-部门汇总'!$A$1:$E$5</definedName>
    <definedName name="_xlnm._FilterDatabase" localSheetId="3" hidden="1">'99-日志'!$A$1:$E$5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</font>
    <font>
      <b val="1"/>
      <color rgb="00FFFFFF"/>
      <sz val="10"/>
    </font>
    <font>
      <color rgb="007F3F00"/>
    </font>
    <font>
      <color rgb="009C0006"/>
    </font>
    <font>
      <b val="1"/>
      <color rgb="00FF0000"/>
    </font>
    <font>
      <b val="1"/>
      <color rgb="007F3F00"/>
    </font>
    <font>
      <b val="1"/>
      <color rgb="009C0006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9F9F9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thin">
        <color rgb="00D9E1F2"/>
      </left>
      <right style="thin">
        <color rgb="00D9E1F2"/>
      </right>
      <top style="double">
        <color rgb="002C3E50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4" fontId="6" fillId="0" borderId="2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xpenseDetails" displayName="ExpenseDetails" ref="A1:K7" headerRowCount="1">
  <autoFilter ref="A1:K7"/>
  <tableColumns count="11">
    <tableColumn id="1" name="序号"/>
    <tableColumn id="2" name="原始日期"/>
    <tableColumn id="3" name="规范日期"/>
    <tableColumn id="4" name="姓名"/>
    <tableColumn id="5" name="部门"/>
    <tableColumn id="6" name="费用类别"/>
    <tableColumn id="7" name="原始金额"/>
    <tableColumn id="8" name="金额（数字）"/>
    <tableColumn id="9" name="问题标记"/>
    <tableColumn id="10" name="处理说明"/>
    <tableColumn id="11" name="是否纳入汇总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报销记录整理</t>
        </is>
      </c>
    </row>
    <row r="2"/>
    <row r="3" ht="34" customHeight="1">
      <c r="A3" s="2" t="inlineStr">
        <is>
          <t>用途</t>
        </is>
      </c>
      <c r="B3" s="3" t="inlineStr">
        <is>
          <t>整理对话中提供的6条报销记录，统一日期显示格式、将可确认金额转换为数字，并按部门汇总。</t>
        </is>
      </c>
    </row>
    <row r="4" ht="34" customHeight="1">
      <c r="A4" s="2" t="inlineStr">
        <is>
          <t>输入来源</t>
        </is>
      </c>
      <c r="B4" s="3" t="inlineStr">
        <is>
          <t>用户提供的6条原始报销记录；原始日期和原始金额均在01-明细中保留。</t>
        </is>
      </c>
    </row>
    <row r="5" ht="34" customHeight="1">
      <c r="A5" s="2" t="inlineStr">
        <is>
          <t>日期规则</t>
        </is>
      </c>
      <c r="B5" s="3" t="inlineStr">
        <is>
          <t>可明确识别的日期统一显示为 yyyy-mm-dd；“9月5日”缺少年份，规范日期留空并标记问题，不擅自补年。</t>
        </is>
      </c>
    </row>
    <row r="6" ht="34" customHeight="1">
      <c r="A6" s="2" t="inlineStr">
        <is>
          <t>金额规则</t>
        </is>
      </c>
      <c r="B6" s="3" t="inlineStr">
        <is>
          <t>可确认的金额转为数字并使用千分位格式；赵六金额缺失，保持空白，不以0回填。</t>
        </is>
      </c>
    </row>
    <row r="7" ht="34" customHeight="1">
      <c r="A7" s="2" t="inlineStr">
        <is>
          <t>重复规则</t>
        </is>
      </c>
      <c r="B7" s="3" t="inlineStr">
        <is>
          <t>两条张三/市场部/差旅/1,280元记录完全相同，均保留；第4条标记为疑似重复记录并纳入汇总。</t>
        </is>
      </c>
    </row>
    <row r="8" ht="34" customHeight="1">
      <c r="A8" s="2" t="inlineStr">
        <is>
          <t>汇总口径</t>
        </is>
      </c>
      <c r="B8" s="3" t="inlineStr">
        <is>
          <t>部门汇总包含所有已填写数字金额，含疑似重复记录；缺失金额不计入金额合计，但计入记录数和问题记录数。</t>
        </is>
      </c>
    </row>
    <row r="9" ht="34" customHeight="1">
      <c r="A9" s="2" t="inlineStr">
        <is>
          <t>异常颜色</t>
        </is>
      </c>
      <c r="B9" s="3" t="inlineStr">
        <is>
          <t>浅橙色表示需复核的警告；浅红色表示缺失等问题。原始值不被覆盖。</t>
        </is>
      </c>
    </row>
    <row r="10" ht="34" customHeight="1">
      <c r="A10" s="2" t="inlineStr">
        <is>
          <t>工作表</t>
        </is>
      </c>
      <c r="B10" s="3" t="inlineStr">
        <is>
          <t>01-明细为可筛选主表；02-部门汇总为公式汇总；99-日志记录数据问题及处理决定。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0" customWidth="1" min="9" max="9"/>
    <col width="50" customWidth="1" min="10" max="10"/>
    <col width="14" customWidth="1" min="11" max="11"/>
  </cols>
  <sheetData>
    <row r="1" ht="32" customHeight="1">
      <c r="A1" s="4" t="inlineStr">
        <is>
          <t>序号</t>
        </is>
      </c>
      <c r="B1" s="4" t="inlineStr">
        <is>
          <t>原始日期</t>
        </is>
      </c>
      <c r="C1" s="4" t="inlineStr">
        <is>
          <t>规范日期</t>
        </is>
      </c>
      <c r="D1" s="4" t="inlineStr">
        <is>
          <t>姓名</t>
        </is>
      </c>
      <c r="E1" s="4" t="inlineStr">
        <is>
          <t>部门</t>
        </is>
      </c>
      <c r="F1" s="4" t="inlineStr">
        <is>
          <t>费用类别</t>
        </is>
      </c>
      <c r="G1" s="4" t="inlineStr">
        <is>
          <t>原始金额</t>
        </is>
      </c>
      <c r="H1" s="4" t="inlineStr">
        <is>
          <t>金额（数字）</t>
        </is>
      </c>
      <c r="I1" s="4" t="inlineStr">
        <is>
          <t>问题标记</t>
        </is>
      </c>
      <c r="J1" s="4" t="inlineStr">
        <is>
          <t>处理说明</t>
        </is>
      </c>
      <c r="K1" s="4" t="inlineStr">
        <is>
          <t>是否纳入汇总</t>
        </is>
      </c>
    </row>
    <row r="2">
      <c r="A2" s="5" t="n">
        <v>1</v>
      </c>
      <c r="B2" s="5" t="inlineStr">
        <is>
          <t>2026/9/3</t>
        </is>
      </c>
      <c r="C2" s="6" t="n">
        <v>46268</v>
      </c>
      <c r="D2" s="5" t="inlineStr">
        <is>
          <t>张三</t>
        </is>
      </c>
      <c r="E2" s="5" t="inlineStr">
        <is>
          <t>市场部</t>
        </is>
      </c>
      <c r="F2" s="5" t="inlineStr">
        <is>
          <t>差旅</t>
        </is>
      </c>
      <c r="G2" s="5" t="inlineStr">
        <is>
          <t>1,280元</t>
        </is>
      </c>
      <c r="H2" s="7" t="n">
        <v>1280</v>
      </c>
      <c r="I2" s="5" t="inlineStr"/>
      <c r="J2" s="5" t="inlineStr">
        <is>
          <t>日期和金额均已规范化。</t>
        </is>
      </c>
      <c r="K2" s="5" t="inlineStr">
        <is>
          <t>是</t>
        </is>
      </c>
    </row>
    <row r="3">
      <c r="A3" s="8" t="n">
        <v>2</v>
      </c>
      <c r="B3" s="8" t="inlineStr">
        <is>
          <t>9月5日</t>
        </is>
      </c>
      <c r="C3" s="9" t="n"/>
      <c r="D3" s="8" t="inlineStr">
        <is>
          <t>李四</t>
        </is>
      </c>
      <c r="E3" s="8" t="inlineStr">
        <is>
          <t>研发部</t>
        </is>
      </c>
      <c r="F3" s="8" t="inlineStr">
        <is>
          <t>办公用品</t>
        </is>
      </c>
      <c r="G3" s="8" t="inlineStr">
        <is>
          <t>356.5</t>
        </is>
      </c>
      <c r="H3" s="10" t="n">
        <v>356.5</v>
      </c>
      <c r="I3" s="8" t="inlineStr">
        <is>
          <t>日期缺少年份</t>
        </is>
      </c>
      <c r="J3" s="8" t="inlineStr">
        <is>
          <t>保留原始日期，未擅自补充年份；金额已转为数字。</t>
        </is>
      </c>
      <c r="K3" s="8" t="inlineStr">
        <is>
          <t>是</t>
        </is>
      </c>
    </row>
    <row r="4">
      <c r="A4" s="5" t="n">
        <v>3</v>
      </c>
      <c r="B4" s="5" t="inlineStr">
        <is>
          <t>2026-09-08</t>
        </is>
      </c>
      <c r="C4" s="6" t="n">
        <v>46273</v>
      </c>
      <c r="D4" s="5" t="inlineStr">
        <is>
          <t>王五</t>
        </is>
      </c>
      <c r="E4" s="5" t="inlineStr">
        <is>
          <t>市场部</t>
        </is>
      </c>
      <c r="F4" s="5" t="inlineStr">
        <is>
          <t>招待</t>
        </is>
      </c>
      <c r="G4" s="5" t="inlineStr">
        <is>
          <t>2400</t>
        </is>
      </c>
      <c r="H4" s="7" t="n">
        <v>2400</v>
      </c>
      <c r="I4" s="5" t="inlineStr"/>
      <c r="J4" s="5" t="inlineStr">
        <is>
          <t>日期和金额均已规范化。</t>
        </is>
      </c>
      <c r="K4" s="5" t="inlineStr">
        <is>
          <t>是</t>
        </is>
      </c>
    </row>
    <row r="5">
      <c r="A5" s="8" t="n">
        <v>4</v>
      </c>
      <c r="B5" s="8" t="inlineStr">
        <is>
          <t>2026/9/3</t>
        </is>
      </c>
      <c r="C5" s="9" t="n">
        <v>46268</v>
      </c>
      <c r="D5" s="8" t="inlineStr">
        <is>
          <t>张三</t>
        </is>
      </c>
      <c r="E5" s="8" t="inlineStr">
        <is>
          <t>市场部</t>
        </is>
      </c>
      <c r="F5" s="8" t="inlineStr">
        <is>
          <t>差旅</t>
        </is>
      </c>
      <c r="G5" s="8" t="inlineStr">
        <is>
          <t>1,280元</t>
        </is>
      </c>
      <c r="H5" s="10" t="n">
        <v>1280</v>
      </c>
      <c r="I5" s="8" t="inlineStr">
        <is>
          <t>疑似重复记录</t>
        </is>
      </c>
      <c r="J5" s="8" t="inlineStr">
        <is>
          <t>与第1条内容完全相同，保留原记录并纳入汇总。</t>
        </is>
      </c>
      <c r="K5" s="8" t="inlineStr">
        <is>
          <t>是</t>
        </is>
      </c>
    </row>
    <row r="6">
      <c r="A6" s="11" t="n">
        <v>5</v>
      </c>
      <c r="B6" s="11" t="inlineStr">
        <is>
          <t>2026.9.12</t>
        </is>
      </c>
      <c r="C6" s="12" t="n">
        <v>46277</v>
      </c>
      <c r="D6" s="11" t="inlineStr">
        <is>
          <t>赵六</t>
        </is>
      </c>
      <c r="E6" s="11" t="inlineStr">
        <is>
          <t>研发部</t>
        </is>
      </c>
      <c r="F6" s="11" t="inlineStr">
        <is>
          <t>差旅</t>
        </is>
      </c>
      <c r="G6" s="11" t="inlineStr"/>
      <c r="H6" s="13" t="n"/>
      <c r="I6" s="11" t="inlineStr">
        <is>
          <t>金额缺失</t>
        </is>
      </c>
      <c r="J6" s="11" t="inlineStr">
        <is>
          <t>保留金额空白，不以0回填；不纳入金额汇总。</t>
        </is>
      </c>
      <c r="K6" s="11" t="inlineStr">
        <is>
          <t>否</t>
        </is>
      </c>
    </row>
    <row r="7">
      <c r="A7" s="14" t="n">
        <v>6</v>
      </c>
      <c r="B7" s="14" t="inlineStr">
        <is>
          <t>2026-9-15</t>
        </is>
      </c>
      <c r="C7" s="15" t="n">
        <v>46280</v>
      </c>
      <c r="D7" s="14" t="inlineStr">
        <is>
          <t>孙七</t>
        </is>
      </c>
      <c r="E7" s="14" t="inlineStr">
        <is>
          <t>行政部</t>
        </is>
      </c>
      <c r="F7" s="14" t="inlineStr">
        <is>
          <t>办公用品</t>
        </is>
      </c>
      <c r="G7" s="14" t="inlineStr">
        <is>
          <t>89元</t>
        </is>
      </c>
      <c r="H7" s="16" t="n">
        <v>89</v>
      </c>
      <c r="I7" s="14" t="inlineStr"/>
      <c r="J7" s="14" t="inlineStr">
        <is>
          <t>日期和金额均已规范化。</t>
        </is>
      </c>
      <c r="K7" s="14" t="inlineStr">
        <is>
          <t>是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52" customWidth="1" min="5" max="5"/>
  </cols>
  <sheetData>
    <row r="1" ht="32" customHeight="1">
      <c r="A1" s="4" t="inlineStr">
        <is>
          <t>部门</t>
        </is>
      </c>
      <c r="B1" s="4" t="inlineStr">
        <is>
          <t>金额合计</t>
        </is>
      </c>
      <c r="C1" s="4" t="inlineStr">
        <is>
          <t>记录数</t>
        </is>
      </c>
      <c r="D1" s="4" t="inlineStr">
        <is>
          <t>问题记录数</t>
        </is>
      </c>
      <c r="E1" s="4" t="inlineStr">
        <is>
          <t>汇总说明</t>
        </is>
      </c>
    </row>
    <row r="2">
      <c r="A2" s="14" t="inlineStr">
        <is>
          <t>市场部</t>
        </is>
      </c>
      <c r="B2" s="16">
        <f>SUMIF('01-明细'!$E$2:$E$7,A2,'01-明细'!$H$2:$H$7)</f>
        <v/>
      </c>
      <c r="C2" s="14">
        <f>COUNTIF('01-明细'!$E$2:$E$7,A2)</f>
        <v/>
      </c>
      <c r="D2" s="14">
        <f>COUNTIFS('01-明细'!$E$2:$E$7,A2,'01-明细'!$I$2:$I$7,"&lt;&gt;")</f>
        <v/>
      </c>
      <c r="E2" s="14" t="inlineStr">
        <is>
          <t>含疑似重复记录；仅汇总已填写数字金额。</t>
        </is>
      </c>
    </row>
    <row r="3">
      <c r="A3" s="14" t="inlineStr">
        <is>
          <t>研发部</t>
        </is>
      </c>
      <c r="B3" s="16">
        <f>SUMIF('01-明细'!$E$2:$E$7,A3,'01-明细'!$H$2:$H$7)</f>
        <v/>
      </c>
      <c r="C3" s="14">
        <f>COUNTIF('01-明细'!$E$2:$E$7,A3)</f>
        <v/>
      </c>
      <c r="D3" s="14">
        <f>COUNTIFS('01-明细'!$E$2:$E$7,A3,'01-明细'!$I$2:$I$7,"&lt;&gt;")</f>
        <v/>
      </c>
      <c r="E3" s="14" t="inlineStr">
        <is>
          <t>仅汇总已填写数字金额；无疑似重复记录。</t>
        </is>
      </c>
    </row>
    <row r="4">
      <c r="A4" s="14" t="inlineStr">
        <is>
          <t>行政部</t>
        </is>
      </c>
      <c r="B4" s="16">
        <f>SUMIF('01-明细'!$E$2:$E$7,A4,'01-明细'!$H$2:$H$7)</f>
        <v/>
      </c>
      <c r="C4" s="14">
        <f>COUNTIF('01-明细'!$E$2:$E$7,A4)</f>
        <v/>
      </c>
      <c r="D4" s="14">
        <f>COUNTIFS('01-明细'!$E$2:$E$7,A4,'01-明细'!$I$2:$I$7,"&lt;&gt;")</f>
        <v/>
      </c>
      <c r="E4" s="14" t="inlineStr">
        <is>
          <t>仅汇总已填写数字金额；无疑似重复记录。</t>
        </is>
      </c>
    </row>
    <row r="5">
      <c r="A5" s="17" t="inlineStr">
        <is>
          <t>总计</t>
        </is>
      </c>
      <c r="B5" s="18">
        <f>SUM(B2:B4)</f>
        <v/>
      </c>
      <c r="C5" s="17">
        <f>SUM(C2:C4)</f>
        <v/>
      </c>
      <c r="D5" s="17">
        <f>SUM(D2:D4)</f>
        <v/>
      </c>
      <c r="E5" s="17" t="inlineStr">
        <is>
          <t>总计含疑似重复记录；缺失金额未计入金额合计。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42" customWidth="1" min="4" max="4"/>
    <col width="58" customWidth="1" min="5" max="5"/>
  </cols>
  <sheetData>
    <row r="1" ht="32" customHeight="1">
      <c r="A1" s="4" t="inlineStr">
        <is>
          <t>序号</t>
        </is>
      </c>
      <c r="B1" s="4" t="inlineStr">
        <is>
          <t>级别</t>
        </is>
      </c>
      <c r="C1" s="4" t="inlineStr">
        <is>
          <t>记录范围</t>
        </is>
      </c>
      <c r="D1" s="4" t="inlineStr">
        <is>
          <t>问题</t>
        </is>
      </c>
      <c r="E1" s="4" t="inlineStr">
        <is>
          <t>处理决定</t>
        </is>
      </c>
    </row>
    <row r="2">
      <c r="A2" s="19" t="n">
        <v>1</v>
      </c>
      <c r="B2" s="20" t="inlineStr">
        <is>
          <t>WARNING</t>
        </is>
      </c>
      <c r="C2" s="19" t="inlineStr">
        <is>
          <t>第2条</t>
        </is>
      </c>
      <c r="D2" s="19" t="inlineStr">
        <is>
          <t>日期缺少年份：9月5日</t>
        </is>
      </c>
      <c r="E2" s="19" t="inlineStr">
        <is>
          <t>保留原始日期，规范日期留空，不擅自补充年份。</t>
        </is>
      </c>
    </row>
    <row r="3">
      <c r="A3" s="19" t="n">
        <v>2</v>
      </c>
      <c r="B3" s="20" t="inlineStr">
        <is>
          <t>WARNING</t>
        </is>
      </c>
      <c r="C3" s="19" t="inlineStr">
        <is>
          <t>第4条</t>
        </is>
      </c>
      <c r="D3" s="19" t="inlineStr">
        <is>
          <t>与第1条内容完全相同，疑似重复记录</t>
        </is>
      </c>
      <c r="E3" s="19" t="inlineStr">
        <is>
          <t>保留该条并纳入汇总，交由业务人员复核。</t>
        </is>
      </c>
    </row>
    <row r="4">
      <c r="A4" s="21" t="n">
        <v>3</v>
      </c>
      <c r="B4" s="22" t="inlineStr">
        <is>
          <t>ERROR</t>
        </is>
      </c>
      <c r="C4" s="21" t="inlineStr">
        <is>
          <t>第5条</t>
        </is>
      </c>
      <c r="D4" s="21" t="inlineStr">
        <is>
          <t>金额缺失</t>
        </is>
      </c>
      <c r="E4" s="21" t="inlineStr">
        <is>
          <t>保留金额空白，不以0回填，不纳入金额合计。</t>
        </is>
      </c>
    </row>
    <row r="5">
      <c r="A5" s="23" t="n">
        <v>4</v>
      </c>
      <c r="B5" s="24" t="inlineStr">
        <is>
          <t>OK</t>
        </is>
      </c>
      <c r="C5" s="23" t="inlineStr">
        <is>
          <t>全表</t>
        </is>
      </c>
      <c r="D5" s="23" t="inlineStr">
        <is>
          <t>可确认日期已统一为 yyyy-mm-dd，可确认金额已转为数字</t>
        </is>
      </c>
      <c r="E5" s="23" t="inlineStr">
        <is>
          <t>已完成规范化，原始字段仍保留。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报销记录整理</dc:title>
  <dc:subject xmlns:dc="http://purl.org/dc/elements/1.1/">报销明细规范化与部门汇总</dc:subject>
  <dcterms:created xmlns:dcterms="http://purl.org/dc/terms/" xmlns:xsi="http://www.w3.org/2001/XMLSchema-instance" xsi:type="dcterms:W3CDTF">2026-10-07T06:39:20Z</dcterms:created>
  <dcterms:modified xmlns:dcterms="http://purl.org/dc/terms/" xmlns:xsi="http://www.w3.org/2001/XMLSchema-instance" xsi:type="dcterms:W3CDTF">2026-10-07T08:21:51Z</dcterms:modified>
</cp:coreProperties>
</file>