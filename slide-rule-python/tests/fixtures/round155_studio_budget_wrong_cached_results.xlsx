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明细" sheetId="1" r:id="rId1"/>
    <sheet name="季度汇总" sheetId="2" r:id="rId2"/>
    <sheet name="假设说明" sheetId="3" r:id="rId3"/>
  </sheets>
  <definedNames>
    <definedName name="_xlnm._FilterDatabase" localSheetId="2" hidden="1">假设说明!$A$3:$C$8</definedName>
    <definedName name="_xlnm._FilterDatabase" localSheetId="1" hidden="1">季度汇总!$A$3:$L$7</definedName>
    <definedName name="_xlnm.Print_Titles" localSheetId="2">假设说明!$1:$3</definedName>
    <definedName name="_xlnm.Print_Titles" localSheetId="1">季度汇总!$1:$3</definedName>
    <definedName name="_xlnm.Print_Titles" localSheetId="0">月度明细!$1:$3</definedName>
  </definedNames>
  <calcPr calcId="124519" fullCalcOnLoad="1"/>
</workbook>
</file>

<file path=xl/sharedStrings.xml><?xml version="1.0" encoding="utf-8"?>
<sst xmlns="http://schemas.openxmlformats.org/spreadsheetml/2006/main" count="77" uniqueCount="51">
  <si>
    <t>小型工作室 2025 年度预算</t>
  </si>
  <si>
    <t>单位：人民币（元）｜蓝色金额为可直接修改的示例预算，合计与净利润自动计算</t>
  </si>
  <si>
    <t>月份</t>
  </si>
  <si>
    <t>项目/服务收入</t>
  </si>
  <si>
    <t>其他收入</t>
  </si>
  <si>
    <t>收入合计</t>
  </si>
  <si>
    <t>人员薪酬</t>
  </si>
  <si>
    <t>房租与水电</t>
  </si>
  <si>
    <t>软件与订阅</t>
  </si>
  <si>
    <t>市场推广</t>
  </si>
  <si>
    <t>设备与耗材</t>
  </si>
  <si>
    <t>差旅与业务招待</t>
  </si>
  <si>
    <t>税费与行政</t>
  </si>
  <si>
    <t>其他支出</t>
  </si>
  <si>
    <t>支出合计</t>
  </si>
  <si>
    <t>净利润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</si>
  <si>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</si>
  <si>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</si>
  <si>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</si>
  <si>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</si>
  <si>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</si>
  <si>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</si>
  <si>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</si>
  <si>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</si>
  <si>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</si>
  <si>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</si>
  <si>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</si>
  <si>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</si>
  <si>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年度合计</t>
  </si>
  <si>
    <t>小型工作室 2025 年季度预算汇总</t>
  </si>
  <si>
    <t>数据通过公式引用“月度明细”表，可回到明细表修改示例预算。</t>
  </si>
  <si>
    <t>季度</t>
  </si>
  <si>
    <t>Q1</t>
  </si>
  <si>
    <t>Q2</t>
  </si>
  <si>
    <t>Q3</t>
  </si>
  <si>
    <t>Q4</t>
  </si>
  <si>
    <t>小型工作室 2025 年度预算假设说明</t>
  </si>
  <si>
    <t>以下假设用于解释预填示例预算，实际使用时可按经营情况调整。</t>
  </si>
  <si>
    <t>序号</t>
  </si>
  <si>
    <t>假设主题</t>
  </si>
  <si>
    <t>说明</t>
  </si>
  <si>
    <t>预算年度</t>
  </si>
  <si>
    <t>预算覆盖 2025 年 1 月至 12 月，按月记录并按季度汇总。</t>
  </si>
  <si>
    <t>项目与其他收入</t>
  </si>
  <si>
    <t>收入分为项目/服务收入与其他收入，示例金额用于展示常见的季节性变化。</t>
  </si>
  <si>
    <t>人员薪酬、房租与水电</t>
  </si>
  <si>
    <t>人员薪酬及场地相关费用按月预留，默认工作室全年持续运营。</t>
  </si>
  <si>
    <t>软件、推广、设备、差旅及行政</t>
  </si>
  <si>
    <t>软件订阅、市场推广、设备耗材、差旅招待、税费行政和其他支出均按月预算。</t>
  </si>
  <si>
    <t>人民币示例预算</t>
  </si>
  <si>
    <t>所有金额以人民币元展示；蓝色金额为可直接修改的示例输入，合计与净利润由公式计算。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</si>
</sst>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Microsoft YaHei"/>
      <family val="2"/>
    </font>
    <font>
      <i/>
      <sz val="11"/>
      <color rgb="FF666666"/>
      <name val="Microsoft YaHei"/>
      <family val="2"/>
    </font>
    <font>
      <sz val="11"/>
      <color theme="1"/>
      <name val="Microsoft YaHe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3F9EF"/>
        <bgColor indexed="64"/>
      </patternFill>
    </fill>
    <fill>
      <patternFill patternType="solid">
        <fgColor rgb="FF2F75B5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1" xfId="0" applyFont="1" applyBorder="1"/>
    <xf numFmtId="164" fontId="0" fillId="3" borderId="1" xfId="0" applyNumberFormat="1" applyFill="1" applyBorder="1"/>
    <xf numFmtId="164" fontId="4" fillId="4" borderId="1" xfId="0" applyNumberFormat="1" applyFont="1" applyFill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季度收入、支出与净利润走势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季度汇总!$B$3</c:f>
              <c:strCache>
                <c:ptCount val="1"/>
                <c:pt idx="0">
                  <c:v>收入合计</c:v>
                </c:pt>
              </c:strCache>
            </c:strRef>
          </c:tx>
          <c:spPr>
            <a:ln w="28575">
              <a:solidFill>
                <a:srgbClr val="2F75B5"/>
              </a:solidFill>
            </a:ln>
          </c:spPr>
          <c:marker>
            <c:symbol val="none"/>
          </c:marker>
          <c:cat>
            <c:strRef>
              <c:f>季度汇总!$A$4:$A$7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季度汇总!$B$4:$B$7</c:f>
              <c:numCache>
                <c:formatCode>General</c:formatCode>
                <c:ptCount val="4"/>
                <c:pt idx="0">
                  <c:v>156800</c:v>
                </c:pt>
                <c:pt idx="1">
                  <c:v>191700</c:v>
                </c:pt>
                <c:pt idx="2">
                  <c:v>231900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季度汇总!$K$3</c:f>
              <c:strCache>
                <c:ptCount val="1"/>
                <c:pt idx="0">
                  <c:v>支出合计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季度汇总!$A$4:$A$7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季度汇总!$K$4:$K$7</c:f>
              <c:numCache>
                <c:formatCode>General</c:formatCode>
                <c:ptCount val="4"/>
                <c:pt idx="0">
                  <c:v>179100</c:v>
                </c:pt>
                <c:pt idx="1">
                  <c:v>201200</c:v>
                </c:pt>
                <c:pt idx="2">
                  <c:v>224500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季度汇总!$L$3</c:f>
              <c:strCache>
                <c:ptCount val="1"/>
                <c:pt idx="0">
                  <c:v>净利润</c:v>
                </c:pt>
              </c:strCache>
            </c:strRef>
          </c:tx>
          <c:spPr>
            <a:ln w="28575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季度汇总!$A$4:$A$7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季度汇总!$L$4:$L$7</c:f>
              <c:numCache>
                <c:formatCode>General</c:formatCode>
                <c:ptCount val="4"/>
                <c:pt idx="0">
                  <c:v>-22300</c:v>
                </c:pt>
                <c:pt idx="1">
                  <c:v>-9500</c:v>
                </c:pt>
                <c:pt idx="2">
                  <c:v>7400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季度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金额（元）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24</xdr:col>
      <xdr:colOff>152400</xdr:colOff>
      <xdr:row>20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nthlyBudget" displayName="MonthlyBudget" ref="A3:N15" totalsRowShown="0">
  <autoFilter ref="A3:N15"/>
  <tableColumns count="14">
    <tableColumn id="1" name="月份"/>
    <tableColumn id="2" name="项目/服务收入"/>
    <tableColumn id="3" name="其他收入"/>
    <tableColumn id="4" name="收入合计"/>
    <tableColumn id="5" name="人员薪酬"/>
    <tableColumn id="6" name="房租与水电"/>
    <tableColumn id="7" name="软件与订阅"/>
    <tableColumn id="8" name="市场推广"/>
    <tableColumn id="9" name="设备与耗材"/>
    <tableColumn id="10" name="差旅与业务招待"/>
    <tableColumn id="11" name="税费与行政"/>
    <tableColumn id="12" name="其他支出"/>
    <tableColumn id="13" name="支出合计"/>
    <tableColumn id="14" name="净利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6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3.7109375" customWidth="1"/>
    <col min="2" max="2" width="16.7109375" customWidth="1"/>
    <col min="3" max="3" width="13.7109375" customWidth="1"/>
    <col min="4" max="9" width="14.7109375" customWidth="1"/>
    <col min="10" max="10" width="17.7109375" customWidth="1"/>
    <col min="11" max="11" width="14.7109375" customWidth="1"/>
    <col min="12" max="12" width="13.7109375" customWidth="1"/>
    <col min="13" max="14" width="14.7109375" customWidth="1"/>
  </cols>
  <sheetData>
    <row r="1" spans="1:14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4" customHeight="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>
      <c r="A4" s="3" t="s">
        <v>16</v>
      </c>
      <c r="B4" s="4">
        <v>32000</v>
      </c>
      <c r="C4" s="4">
        <v>1800</v>
      </c>
      <c r="D4" s="5">
        <f>SUM(B4:C4)</f>
        <v>33800</v>
      </c>
      <c r="E4" s="4">
        <v>9000</v>
      </c>
      <c r="F4" s="4">
        <v>2200</v>
      </c>
      <c r="G4" s="4">
        <v>3500</v>
      </c>
      <c r="H4" s="4">
        <v>1500</v>
      </c>
      <c r="I4" s="4">
        <v>1800</v>
      </c>
      <c r="J4" s="4">
        <v>2600</v>
      </c>
      <c r="K4" s="4">
        <v>2800</v>
      </c>
      <c r="L4" s="4">
        <v>500</v>
      </c>
      <c r="M4" s="5">
        <f>SUM(E4:L4)</f>
        <v>41900</v>
      </c>
      <c r="N4" s="5">
        <f>D4-M4</f>
        <v>-8100</v>
      </c>
    </row>
    <row r="5" spans="1:14">
      <c r="A5" s="3" t="s">
        <v>17</v>
      </c>
      <c r="B5" s="4">
        <v>36000</v>
      </c>
      <c r="C5" s="4">
        <v>2000</v>
      </c>
      <c r="D5" s="5">
        <f>SUM(B5:C5)</f>
        <v>38000</v>
      </c>
      <c r="E5" s="4">
        <v>9000</v>
      </c>
      <c r="F5" s="4">
        <v>2200</v>
      </c>
      <c r="G5" s="4">
        <v>3500</v>
      </c>
      <c r="H5" s="4">
        <v>1800</v>
      </c>
      <c r="I5" s="4">
        <v>1600</v>
      </c>
      <c r="J5" s="4">
        <v>2500</v>
      </c>
      <c r="K5" s="4">
        <v>3000</v>
      </c>
      <c r="L5" s="4">
        <v>600</v>
      </c>
      <c r="M5" s="5">
        <f>SUM(E5:L5)</f>
        <v>43200</v>
      </c>
      <c r="N5" s="5">
        <f>D5-M5</f>
        <v>-5200</v>
      </c>
    </row>
    <row r="6" spans="1:14">
      <c r="A6" s="3" t="s">
        <v>18</v>
      </c>
      <c r="B6" s="4">
        <v>42000</v>
      </c>
      <c r="C6" s="4">
        <v>2200</v>
      </c>
      <c r="D6" s="5">
        <f>SUM(B6:C6)</f>
        <v>44200</v>
      </c>
      <c r="E6" s="4">
        <v>9000</v>
      </c>
      <c r="F6" s="4">
        <v>2200</v>
      </c>
      <c r="G6" s="4">
        <v>4200</v>
      </c>
      <c r="H6" s="4">
        <v>2200</v>
      </c>
      <c r="I6" s="4">
        <v>2400</v>
      </c>
      <c r="J6" s="4">
        <v>2700</v>
      </c>
      <c r="K6" s="4">
        <v>3300</v>
      </c>
      <c r="L6" s="4">
        <v>600</v>
      </c>
      <c r="M6" s="5">
        <f>SUM(E6:L6)</f>
        <v>47100</v>
      </c>
      <c r="N6" s="5">
        <f>D6-M6</f>
        <v>-2900</v>
      </c>
    </row>
    <row r="7" spans="1:14">
      <c r="A7" s="3" t="s">
        <v>19</v>
      </c>
      <c r="B7" s="4">
        <v>39000</v>
      </c>
      <c r="C7" s="4">
        <v>1800</v>
      </c>
      <c r="D7" s="5">
        <f>SUM(B7:C7)</f>
        <v>40800</v>
      </c>
      <c r="E7" s="4">
        <v>9200</v>
      </c>
      <c r="F7" s="4">
        <v>2300</v>
      </c>
      <c r="G7" s="4">
        <v>3800</v>
      </c>
      <c r="H7" s="4">
        <v>1800</v>
      </c>
      <c r="I7" s="4">
        <v>2200</v>
      </c>
      <c r="J7" s="4">
        <v>2800</v>
      </c>
      <c r="K7" s="4">
        <v>3200</v>
      </c>
      <c r="L7" s="4">
        <v>600</v>
      </c>
      <c r="M7" s="5">
        <f>SUM(E7:L7)</f>
        <v>46900</v>
      </c>
      <c r="N7" s="5">
        <f>D7-M7</f>
        <v>-6100</v>
      </c>
    </row>
    <row r="8" spans="1:14">
      <c r="A8" s="3" t="s">
        <v>20</v>
      </c>
      <c r="B8" s="4">
        <v>45000</v>
      </c>
      <c r="C8" s="4">
        <v>2500</v>
      </c>
      <c r="D8" s="5">
        <f>SUM(B8:C8)</f>
        <v>47500</v>
      </c>
      <c r="E8" s="4">
        <v>9200</v>
      </c>
      <c r="F8" s="4">
        <v>2300</v>
      </c>
      <c r="G8" s="4">
        <v>4000</v>
      </c>
      <c r="H8" s="4">
        <v>2200</v>
      </c>
      <c r="I8" s="4">
        <v>2600</v>
      </c>
      <c r="J8" s="4">
        <v>3000</v>
      </c>
      <c r="K8" s="4">
        <v>3500</v>
      </c>
      <c r="L8" s="4">
        <v>700</v>
      </c>
      <c r="M8" s="5">
        <f>SUM(E8:L8)</f>
        <v>49500</v>
      </c>
      <c r="N8" s="5">
        <f>D8-M8</f>
        <v>-2000</v>
      </c>
    </row>
    <row r="9" spans="1:14">
      <c r="A9" s="3" t="s">
        <v>21</v>
      </c>
      <c r="B9" s="4">
        <v>48000</v>
      </c>
      <c r="C9" s="4">
        <v>2600</v>
      </c>
      <c r="D9" s="5">
        <f>SUM(B9:C9)</f>
        <v>50600</v>
      </c>
      <c r="E9" s="4">
        <v>9200</v>
      </c>
      <c r="F9" s="4">
        <v>2300</v>
      </c>
      <c r="G9" s="4">
        <v>4200</v>
      </c>
      <c r="H9" s="4">
        <v>2500</v>
      </c>
      <c r="I9" s="4">
        <v>2800</v>
      </c>
      <c r="J9" s="4">
        <v>3000</v>
      </c>
      <c r="K9" s="4">
        <v>3600</v>
      </c>
      <c r="L9" s="4">
        <v>700</v>
      </c>
      <c r="M9" s="5">
        <f>SUM(E9:L9)</f>
        <v>50800</v>
      </c>
      <c r="N9" s="5">
        <f>D9-M9</f>
        <v>-200</v>
      </c>
    </row>
    <row r="10" spans="1:14">
      <c r="A10" s="3" t="s">
        <v>22</v>
      </c>
      <c r="B10" s="4">
        <v>43000</v>
      </c>
      <c r="C10" s="4">
        <v>2200</v>
      </c>
      <c r="D10" s="5">
        <f>SUM(B10:C10)</f>
        <v>45200</v>
      </c>
      <c r="E10" s="4">
        <v>9500</v>
      </c>
      <c r="F10" s="4">
        <v>2300</v>
      </c>
      <c r="G10" s="4">
        <v>4000</v>
      </c>
      <c r="H10" s="4">
        <v>1800</v>
      </c>
      <c r="I10" s="4">
        <v>2200</v>
      </c>
      <c r="J10" s="4">
        <v>3000</v>
      </c>
      <c r="K10" s="4">
        <v>3400</v>
      </c>
      <c r="L10" s="4">
        <v>700</v>
      </c>
      <c r="M10" s="5">
        <f>SUM(E10:L10)</f>
        <v>49900</v>
      </c>
      <c r="N10" s="5">
        <f>D10-M10</f>
        <v>-4700</v>
      </c>
    </row>
    <row r="11" spans="1:14">
      <c r="A11" s="3" t="s">
        <v>23</v>
      </c>
      <c r="B11" s="4">
        <v>46000</v>
      </c>
      <c r="C11" s="4">
        <v>2400</v>
      </c>
      <c r="D11" s="5">
        <f>SUM(B11:C11)</f>
        <v>48400</v>
      </c>
      <c r="E11" s="4">
        <v>9500</v>
      </c>
      <c r="F11" s="4">
        <v>2300</v>
      </c>
      <c r="G11" s="4">
        <v>4000</v>
      </c>
      <c r="H11" s="4">
        <v>2000</v>
      </c>
      <c r="I11" s="4">
        <v>2400</v>
      </c>
      <c r="J11" s="4">
        <v>3100</v>
      </c>
      <c r="K11" s="4">
        <v>3500</v>
      </c>
      <c r="L11" s="4">
        <v>700</v>
      </c>
      <c r="M11" s="5">
        <f>SUM(E11:L11)</f>
        <v>51000</v>
      </c>
      <c r="N11" s="5">
        <f>D11-M11</f>
        <v>-2600</v>
      </c>
    </row>
    <row r="12" spans="1:14">
      <c r="A12" s="3" t="s">
        <v>24</v>
      </c>
      <c r="B12" s="4">
        <v>52000</v>
      </c>
      <c r="C12" s="4">
        <v>2800</v>
      </c>
      <c r="D12" s="5">
        <f>SUM(B12:C12)</f>
        <v>54800</v>
      </c>
      <c r="E12" s="4">
        <v>9500</v>
      </c>
      <c r="F12" s="4">
        <v>2300</v>
      </c>
      <c r="G12" s="4">
        <v>4500</v>
      </c>
      <c r="H12" s="4">
        <v>2600</v>
      </c>
      <c r="I12" s="4">
        <v>3000</v>
      </c>
      <c r="J12" s="4">
        <v>3200</v>
      </c>
      <c r="K12" s="4">
        <v>3800</v>
      </c>
      <c r="L12" s="4">
        <v>800</v>
      </c>
      <c r="M12" s="5">
        <f>SUM(E12:L12)</f>
        <v>54200</v>
      </c>
      <c r="N12" s="5">
        <f>D12-M12</f>
        <v>600</v>
      </c>
    </row>
    <row r="13" spans="1:14">
      <c r="A13" s="3" t="s">
        <v>25</v>
      </c>
      <c r="B13" s="4">
        <v>50000</v>
      </c>
      <c r="C13" s="4">
        <v>2600</v>
      </c>
      <c r="D13" s="5">
        <f>SUM(B13:C13)</f>
        <v>52600</v>
      </c>
      <c r="E13" s="4">
        <v>9800</v>
      </c>
      <c r="F13" s="4">
        <v>2400</v>
      </c>
      <c r="G13" s="4">
        <v>4300</v>
      </c>
      <c r="H13" s="4">
        <v>2300</v>
      </c>
      <c r="I13" s="4">
        <v>2800</v>
      </c>
      <c r="J13" s="4">
        <v>3200</v>
      </c>
      <c r="K13" s="4">
        <v>3700</v>
      </c>
      <c r="L13" s="4">
        <v>800</v>
      </c>
      <c r="M13" s="5">
        <f>SUM(E13:L13)</f>
        <v>54300</v>
      </c>
      <c r="N13" s="5">
        <f>D13-M13</f>
        <v>-1700</v>
      </c>
    </row>
    <row r="14" spans="1:14">
      <c r="A14" s="3" t="s">
        <v>26</v>
      </c>
      <c r="B14" s="4">
        <v>56000</v>
      </c>
      <c r="C14" s="4">
        <v>3000</v>
      </c>
      <c r="D14" s="5">
        <f>SUM(B14:C14)</f>
        <v>59000</v>
      </c>
      <c r="E14" s="4">
        <v>9800</v>
      </c>
      <c r="F14" s="4">
        <v>2400</v>
      </c>
      <c r="G14" s="4">
        <v>4600</v>
      </c>
      <c r="H14" s="4">
        <v>2800</v>
      </c>
      <c r="I14" s="4">
        <v>3200</v>
      </c>
      <c r="J14" s="4">
        <v>3400</v>
      </c>
      <c r="K14" s="4">
        <v>4000</v>
      </c>
      <c r="L14" s="4">
        <v>800</v>
      </c>
      <c r="M14" s="5">
        <f>SUM(E14:L14)</f>
        <v>56500</v>
      </c>
      <c r="N14" s="5">
        <f>D14-M14</f>
        <v>2500</v>
      </c>
    </row>
    <row r="15" spans="1:14">
      <c r="A15" s="3" t="s">
        <v>27</v>
      </c>
      <c r="B15" s="4">
        <v>62000</v>
      </c>
      <c r="C15" s="4">
        <v>3500</v>
      </c>
      <c r="D15" s="5">
        <f>SUM(B15:C15)</f>
        <v>65500</v>
      </c>
      <c r="E15" s="4">
        <v>10000</v>
      </c>
      <c r="F15" s="4">
        <v>2500</v>
      </c>
      <c r="G15" s="4">
        <v>4800</v>
      </c>
      <c r="H15" s="4">
        <v>3200</v>
      </c>
      <c r="I15" s="4">
        <v>3600</v>
      </c>
      <c r="J15" s="4">
        <v>3500</v>
      </c>
      <c r="K15" s="4">
        <v>4500</v>
      </c>
      <c r="L15" s="4">
        <v>900</v>
      </c>
      <c r="M15" s="5">
        <f>SUM(E15:L15)</f>
        <v>59500</v>
      </c>
      <c r="N15" s="5">
        <f>D15-M15</f>
        <v>6000</v>
      </c>
    </row>
    <row r="16" spans="1:14">
      <c r="A16" s="6" t="s">
        <v>28</v>
      </c>
      <c r="B16" s="7">
        <f>SUM(B4:B15)</f>
        <v>551000</v>
      </c>
      <c r="C16" s="7">
        <f>SUM(C4:C15)</f>
        <v>29400</v>
      </c>
      <c r="D16" s="7">
        <f>SUM(D4:D15)</f>
        <v>580400</v>
      </c>
      <c r="E16" s="7">
        <f>SUM(E4:E15)</f>
        <v>112700</v>
      </c>
      <c r="F16" s="7">
        <f>SUM(F4:F15)</f>
        <v>27700</v>
      </c>
      <c r="G16" s="7">
        <f>SUM(G4:G15)</f>
        <v>49400</v>
      </c>
      <c r="H16" s="7">
        <f>SUM(H4:H15)</f>
        <v>26700</v>
      </c>
      <c r="I16" s="7">
        <f>SUM(I4:I15)</f>
        <v>30600</v>
      </c>
      <c r="J16" s="7">
        <f>SUM(J4:J15)</f>
        <v>36000</v>
      </c>
      <c r="K16" s="7">
        <f>SUM(K4:K15)</f>
        <v>42300</v>
      </c>
      <c r="L16" s="7">
        <f>SUM(L4:L15)</f>
        <v>8400</v>
      </c>
      <c r="M16" s="7">
        <f>SUM(M4:M15)</f>
        <v>604800</v>
      </c>
      <c r="N16" s="7">
        <f>SUM(N4:N15)</f>
        <v>-24400</v>
      </c>
    </row>
  </sheetData>
  <mergeCells count="2">
    <mergeCell ref="A1:N1"/>
    <mergeCell ref="A2:N2"/>
  </mergeCells>
  <conditionalFormatting sqref="N4:N15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15.7109375" customWidth="1"/>
    <col min="3" max="7" width="14.7109375" customWidth="1"/>
    <col min="8" max="8" width="17.7109375" customWidth="1"/>
    <col min="9" max="9" width="14.7109375" customWidth="1"/>
    <col min="10" max="10" width="13.7109375" customWidth="1"/>
    <col min="11" max="12" width="14.7109375" customWidth="1"/>
  </cols>
  <sheetData>
    <row r="1" spans="1:14" ht="27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4" customHeight="1">
      <c r="A3" s="8" t="s">
        <v>31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</row>
    <row r="4" spans="1:14">
      <c r="A4" s="3" t="s">
        <v>32</v>
      </c>
      <c r="B4" s="5">
        <f>SUM('月度明细'!D4:D7)</f>
        <v>156800</v>
      </c>
      <c r="C4" s="5">
        <f>SUM('月度明细'!E4:E7)</f>
        <v>36200</v>
      </c>
      <c r="D4" s="5">
        <f>SUM('月度明细'!F4:F7)</f>
        <v>8900</v>
      </c>
      <c r="E4" s="5">
        <f>SUM('月度明细'!G4:G7)</f>
        <v>15000</v>
      </c>
      <c r="F4" s="5">
        <f>SUM('月度明细'!H4:H7)</f>
        <v>7300</v>
      </c>
      <c r="G4" s="5">
        <f>SUM('月度明细'!I4:I7)</f>
        <v>8000</v>
      </c>
      <c r="H4" s="5">
        <f>SUM('月度明细'!J4:J7)</f>
        <v>10600</v>
      </c>
      <c r="I4" s="5">
        <f>SUM('月度明细'!K4:K7)</f>
        <v>12300</v>
      </c>
      <c r="J4" s="5">
        <f>SUM('月度明细'!L4:L7)</f>
        <v>2300</v>
      </c>
      <c r="K4" s="5">
        <f>SUM('月度明细'!M4:M7)</f>
        <v>179100</v>
      </c>
      <c r="L4" s="5">
        <f>SUM('月度明细'!N4:N7)</f>
        <v>-22300</v>
      </c>
    </row>
    <row r="5" spans="1:14">
      <c r="A5" s="3" t="s">
        <v>33</v>
      </c>
      <c r="B5" s="5">
        <f>SUM('月度明细'!D8:D11)</f>
        <v>191700</v>
      </c>
      <c r="C5" s="5">
        <f>SUM('月度明细'!E8:E11)</f>
        <v>37400</v>
      </c>
      <c r="D5" s="5">
        <f>SUM('月度明细'!F8:F11)</f>
        <v>9200</v>
      </c>
      <c r="E5" s="5">
        <f>SUM('月度明细'!G8:G11)</f>
        <v>16200</v>
      </c>
      <c r="F5" s="5">
        <f>SUM('月度明细'!H8:H11)</f>
        <v>8500</v>
      </c>
      <c r="G5" s="5">
        <f>SUM('月度明细'!I8:I11)</f>
        <v>10000</v>
      </c>
      <c r="H5" s="5">
        <f>SUM('月度明细'!J8:J11)</f>
        <v>12100</v>
      </c>
      <c r="I5" s="5">
        <f>SUM('月度明细'!K8:K11)</f>
        <v>14000</v>
      </c>
      <c r="J5" s="5">
        <f>SUM('月度明细'!L8:L11)</f>
        <v>2800</v>
      </c>
      <c r="K5" s="5">
        <f>SUM('月度明细'!M8:M11)</f>
        <v>201200</v>
      </c>
      <c r="L5" s="5">
        <f>SUM('月度明细'!N8:N11)</f>
        <v>-9500</v>
      </c>
    </row>
    <row r="6" spans="1:14">
      <c r="A6" s="3" t="s">
        <v>34</v>
      </c>
      <c r="B6" s="5">
        <f>SUM('月度明细'!D12:D15)</f>
        <v>231900</v>
      </c>
      <c r="C6" s="5">
        <f>SUM('月度明细'!E12:E15)</f>
        <v>39100</v>
      </c>
      <c r="D6" s="5">
        <f>SUM('月度明细'!F12:F15)</f>
        <v>9600</v>
      </c>
      <c r="E6" s="5">
        <f>SUM('月度明细'!G12:G15)</f>
        <v>18200</v>
      </c>
      <c r="F6" s="5">
        <f>SUM('月度明细'!H12:H15)</f>
        <v>10900</v>
      </c>
      <c r="G6" s="5">
        <f>SUM('月度明细'!I12:I15)</f>
        <v>12600</v>
      </c>
      <c r="H6" s="5">
        <f>SUM('月度明细'!J12:J15)</f>
        <v>13300</v>
      </c>
      <c r="I6" s="5">
        <f>SUM('月度明细'!K12:K15)</f>
        <v>16000</v>
      </c>
      <c r="J6" s="5">
        <f>SUM('月度明细'!L12:L15)</f>
        <v>3300</v>
      </c>
      <c r="K6" s="5">
        <f>SUM('月度明细'!M12:M15)</f>
        <v>224500</v>
      </c>
      <c r="L6" s="5">
        <f>SUM('月度明细'!N12:N15)</f>
        <v>7400</v>
      </c>
    </row>
    <row r="7" spans="1:14">
      <c r="A7" s="3" t="s">
        <v>35</v>
      </c>
      <c r="B7" s="5">
        <f>SUM('月度明细'!D16:D19)</f>
        <v>0</v>
      </c>
      <c r="C7" s="5">
        <f>SUM('月度明细'!E16:E19)</f>
        <v>0</v>
      </c>
      <c r="D7" s="5">
        <f>SUM('月度明细'!F16:F19)</f>
        <v>0</v>
      </c>
      <c r="E7" s="5">
        <f>SUM('月度明细'!G16:G19)</f>
        <v>0</v>
      </c>
      <c r="F7" s="5">
        <f>SUM('月度明细'!H16:H19)</f>
        <v>0</v>
      </c>
      <c r="G7" s="5">
        <f>SUM('月度明细'!I16:I19)</f>
        <v>0</v>
      </c>
      <c r="H7" s="5">
        <f>SUM('月度明细'!J16:J19)</f>
        <v>0</v>
      </c>
      <c r="I7" s="5">
        <f>SUM('月度明细'!K16:K19)</f>
        <v>0</v>
      </c>
      <c r="J7" s="5">
        <f>SUM('月度明细'!L16:L19)</f>
        <v>0</v>
      </c>
      <c r="K7" s="5">
        <f>SUM('月度明细'!M16:M19)</f>
        <v>0</v>
      </c>
      <c r="L7" s="5">
        <f>SUM('月度明细'!N16:N19)</f>
        <v>0</v>
      </c>
    </row>
    <row r="8" spans="1:14">
      <c r="A8" s="6" t="s">
        <v>28</v>
      </c>
      <c r="B8" s="7">
        <f>SUM(B4:B7)</f>
        <v>580400</v>
      </c>
      <c r="C8" s="7">
        <f>SUM(C4:C7)</f>
        <v>112700</v>
      </c>
      <c r="D8" s="7">
        <f>SUM(D4:D7)</f>
        <v>27700</v>
      </c>
      <c r="E8" s="7">
        <f>SUM(E4:E7)</f>
        <v>49400</v>
      </c>
      <c r="F8" s="7">
        <f>SUM(F4:F7)</f>
        <v>26700</v>
      </c>
      <c r="G8" s="7">
        <f>SUM(G4:G7)</f>
        <v>30600</v>
      </c>
      <c r="H8" s="7">
        <f>SUM(H4:H7)</f>
        <v>36000</v>
      </c>
      <c r="I8" s="7">
        <f>SUM(I4:I7)</f>
        <v>42300</v>
      </c>
      <c r="J8" s="7">
        <f>SUM(J4:J7)</f>
        <v>8400</v>
      </c>
      <c r="K8" s="7">
        <f>SUM(K4:K7)</f>
        <v>604800</v>
      </c>
      <c r="L8" s="7">
        <f>SUM(L4:L7)</f>
        <v>-24400</v>
      </c>
    </row>
  </sheetData>
  <autoFilter ref="A3:L7"/>
  <mergeCells count="2">
    <mergeCell ref="A1:N1"/>
    <mergeCell ref="A2:N2"/>
  </mergeCells>
  <conditionalFormatting sqref="L4:L7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78.7109375" customWidth="1"/>
  </cols>
  <sheetData>
    <row r="1" spans="1:3" ht="27" customHeight="1">
      <c r="A1" s="1" t="s">
        <v>36</v>
      </c>
      <c r="B1" s="1"/>
      <c r="C1" s="1"/>
    </row>
    <row r="2" spans="1:3">
      <c r="A2" s="2" t="s">
        <v>37</v>
      </c>
      <c r="B2" s="2"/>
      <c r="C2" s="2"/>
    </row>
    <row r="3" spans="1:3" ht="30" customHeight="1">
      <c r="A3" s="8" t="s">
        <v>38</v>
      </c>
      <c r="B3" s="8" t="s">
        <v>39</v>
      </c>
      <c r="C3" s="8" t="s">
        <v>40</v>
      </c>
    </row>
    <row r="4" spans="1:3">
      <c r="A4" s="3">
        <v>1</v>
      </c>
      <c r="B4" s="3" t="s">
        <v>41</v>
      </c>
      <c r="C4" s="3" t="s">
        <v>42</v>
      </c>
    </row>
    <row r="5" spans="1:3">
      <c r="A5" s="3">
        <v>2</v>
      </c>
      <c r="B5" s="3" t="s">
        <v>43</v>
      </c>
      <c r="C5" s="3" t="s">
        <v>44</v>
      </c>
    </row>
    <row r="6" spans="1:3">
      <c r="A6" s="3">
        <v>3</v>
      </c>
      <c r="B6" s="3" t="s">
        <v>45</v>
      </c>
      <c r="C6" s="3" t="s">
        <v>46</v>
      </c>
    </row>
    <row r="7" spans="1:3">
      <c r="A7" s="3">
        <v>4</v>
      </c>
      <c r="B7" s="3" t="s">
        <v>47</v>
      </c>
      <c r="C7" s="3" t="s">
        <v>48</v>
      </c>
    </row>
    <row r="8" spans="1:3">
      <c r="A8" s="3">
        <v>5</v>
      </c>
      <c r="B8" s="3" t="s">
        <v>49</v>
      </c>
      <c r="C8" s="3" t="s">
        <v>50</v>
      </c>
    </row>
  </sheetData>
  <autoFilter ref="A3:C8"/>
  <mergeCells count="2">
    <mergeCell ref="A1:C1"/>
    <mergeCell ref="A2:C2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月度明细</vt:lpstr>
      <vt:lpstr>季度汇总</vt:lpstr>
      <vt:lpstr>假设说明</vt:lpstr>
      <vt:lpstr>假设说明!Print_Titles</vt:lpstr>
      <vt:lpstr>季度汇总!Print_Titles</vt:lpstr>
      <vt:lpstr>月度明细!Print_Titles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小型工作室 2025 年度预算</dc:title>
  <dc:subject>人民币预算明细、季度汇总与趋势图</dc:subject>
  <dc:creator>OpenAI</dc:creator>
  <cp:lastModifiedBy>OpenAI</cp:lastModifiedBy>
  <dcterms:created xsi:type="dcterms:W3CDTF">2026-09-30T19:05:23Z</dcterms:created>
  <dcterms:modified xsi:type="dcterms:W3CDTF">2026-09-30T19:05:23Z</dcterms:modified>
</cp:coreProperties>
</file>