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经营表" sheetId="1" r:id="rId1"/>
    <sheet name="季度汇总" sheetId="2" r:id="rId2"/>
  </sheets>
  <definedNames>
    <definedName name="_xlnm.Print_Area" localSheetId="1">季度汇总!$A$1:$H$9</definedName>
    <definedName name="_xlnm.Print_Area" localSheetId="0">月度经营表!$A$1:$H$17</definedName>
    <definedName name="_xlnm.Print_Titles" localSheetId="1">季度汇总!$1:$4</definedName>
    <definedName name="_xlnm.Print_Titles" localSheetId="0">月度经营表!$1:$4</definedName>
  </definedNames>
  <calcPr calcId="124519" fullCalcOnLoad="1"/>
</workbook>
</file>

<file path=xl/sharedStrings.xml><?xml version="1.0" encoding="utf-8"?>
<sst xmlns="http://schemas.openxmlformats.org/spreadsheetml/2006/main" count="54" uniqueCount="29">
  <si>
    <t>餐厅月度经营表</t>
  </si>
  <si>
    <t>录入黄色单元格；绿色单元格为自动计算结果。金额单位：元</t>
  </si>
  <si>
    <t>月份</t>
  </si>
  <si>
    <t>营业收入（元）</t>
  </si>
  <si>
    <t>食材成本（元）</t>
  </si>
  <si>
    <t>人工（元）</t>
  </si>
  <si>
    <t>租金（元）</t>
  </si>
  <si>
    <t>水电（元）</t>
  </si>
  <si>
    <t>毛利（元）</t>
  </si>
  <si>
    <t>毛利率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</si>
  <si>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</si>
  <si>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</si>
  <si>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</si>
  <si>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</si>
  <si>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</si>
  <si>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</si>
  <si>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</si>
  <si>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</si>
  <si>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</si>
  <si>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</si>
  <si>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</si>
  <si>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</si>
  <si>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全年合计</t>
  </si>
  <si>
    <t>餐厅季度经营汇总</t>
  </si>
  <si>
    <t>季度毛利率按季度毛利 ÷ 季度营业收入计算，不对月度毛利率做简单平均。</t>
  </si>
  <si>
    <t>一季度</t>
  </si>
  <si>
    <t>二季度</t>
  </si>
  <si>
    <t>三季度</t>
  </si>
  <si>
    <t>四季度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</si>
</sst>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6"/>
      <color rgb="FFFFFFFF"/>
      <name val="Microsoft YaHei"/>
      <family val="2"/>
    </font>
    <font>
      <i/>
      <sz val="10"/>
      <color rgb="FF666666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 Hei"/>
      <family val="2"/>
    </font>
    <font>
      <b/>
      <sz val="11"/>
      <color theme="1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nthlyOperations" displayName="MonthlyOperations" ref="A4:H16" totalsRowShown="0">
  <autoFilter ref="A4:H16"/>
  <tableColumns count="8">
    <tableColumn id="1" name="月份"/>
    <tableColumn id="2" name="营业收入（元）"/>
    <tableColumn id="3" name="食材成本（元）"/>
    <tableColumn id="4" name="人工（元）"/>
    <tableColumn id="5" name="租金（元）"/>
    <tableColumn id="6" name="水电（元）"/>
    <tableColumn id="7" name="毛利（元）"/>
    <tableColumn id="8" name="毛利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arterlySummary" displayName="QuarterlySummary" ref="A4:H8" totalsRowShown="0">
  <autoFilter ref="A4:H8"/>
  <tableColumns count="8">
    <tableColumn id="1" name="月份"/>
    <tableColumn id="2" name="营业收入（元）"/>
    <tableColumn id="3" name="食材成本（元）"/>
    <tableColumn id="4" name="人工（元）"/>
    <tableColumn id="5" name="租金（元）"/>
    <tableColumn id="6" name="水电（元）"/>
    <tableColumn id="7" name="毛利（元）"/>
    <tableColumn id="8" name="毛利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3" width="18.7109375" customWidth="1"/>
    <col min="4" max="6" width="15.7109375" customWidth="1"/>
    <col min="7" max="7" width="18.7109375" customWidth="1"/>
    <col min="8" max="8" width="13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30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s="3" t="s">
        <v>10</v>
      </c>
      <c r="B5" s="4"/>
      <c r="C5" s="4"/>
      <c r="D5" s="4"/>
      <c r="E5" s="4"/>
      <c r="F5" s="4"/>
      <c r="G5" s="5">
        <f>B5-C5-D5-E5-F5</f>
        <v>0</v>
      </c>
      <c r="H5" s="6">
        <f>IF(OR(B5="",B5=0),"",G5/B5)</f>
        <v/>
      </c>
    </row>
    <row r="6" spans="1:8">
      <c r="A6" s="3" t="s">
        <v>11</v>
      </c>
      <c r="B6" s="4"/>
      <c r="C6" s="4"/>
      <c r="D6" s="4"/>
      <c r="E6" s="4"/>
      <c r="F6" s="4"/>
      <c r="G6" s="5">
        <f>B6-C6-D6-E6-F6</f>
        <v>0</v>
      </c>
      <c r="H6" s="6">
        <f>IF(OR(B6="",B6=0),"",G6/B6)</f>
        <v/>
      </c>
    </row>
    <row r="7" spans="1:8">
      <c r="A7" s="3" t="s">
        <v>12</v>
      </c>
      <c r="B7" s="4"/>
      <c r="C7" s="4"/>
      <c r="D7" s="4"/>
      <c r="E7" s="4"/>
      <c r="F7" s="4"/>
      <c r="G7" s="5">
        <f>B7-C7-D7-E7-F7</f>
        <v>0</v>
      </c>
      <c r="H7" s="6">
        <f>IF(OR(B7="",B7=0),"",G7/B7)</f>
        <v/>
      </c>
    </row>
    <row r="8" spans="1:8">
      <c r="A8" s="3" t="s">
        <v>13</v>
      </c>
      <c r="B8" s="4"/>
      <c r="C8" s="4"/>
      <c r="D8" s="4"/>
      <c r="E8" s="4"/>
      <c r="F8" s="4"/>
      <c r="G8" s="5">
        <f>B8-C8-D8-E8-F8</f>
        <v>0</v>
      </c>
      <c r="H8" s="6">
        <f>IF(OR(B8="",B8=0),"",G8/B8)</f>
        <v/>
      </c>
    </row>
    <row r="9" spans="1:8">
      <c r="A9" s="3" t="s">
        <v>14</v>
      </c>
      <c r="B9" s="4"/>
      <c r="C9" s="4"/>
      <c r="D9" s="4"/>
      <c r="E9" s="4"/>
      <c r="F9" s="4"/>
      <c r="G9" s="5">
        <f>B9-C9-D9-E9-F9</f>
        <v>0</v>
      </c>
      <c r="H9" s="6">
        <f>IF(OR(B9="",B9=0),"",G9/B9)</f>
        <v/>
      </c>
    </row>
    <row r="10" spans="1:8">
      <c r="A10" s="3" t="s">
        <v>15</v>
      </c>
      <c r="B10" s="4"/>
      <c r="C10" s="4"/>
      <c r="D10" s="4"/>
      <c r="E10" s="4"/>
      <c r="F10" s="4"/>
      <c r="G10" s="5">
        <f>B10-C10-D10-E10-F10</f>
        <v>0</v>
      </c>
      <c r="H10" s="6">
        <f>IF(OR(B10="",B10=0),"",G10/B10)</f>
        <v/>
      </c>
    </row>
    <row r="11" spans="1:8">
      <c r="A11" s="3" t="s">
        <v>16</v>
      </c>
      <c r="B11" s="4"/>
      <c r="C11" s="4"/>
      <c r="D11" s="4"/>
      <c r="E11" s="4"/>
      <c r="F11" s="4"/>
      <c r="G11" s="5">
        <f>B11-C11-D11-E11-F11</f>
        <v>0</v>
      </c>
      <c r="H11" s="6">
        <f>IF(OR(B11="",B11=0),"",G11/B11)</f>
        <v/>
      </c>
    </row>
    <row r="12" spans="1:8">
      <c r="A12" s="3" t="s">
        <v>17</v>
      </c>
      <c r="B12" s="4"/>
      <c r="C12" s="4"/>
      <c r="D12" s="4"/>
      <c r="E12" s="4"/>
      <c r="F12" s="4"/>
      <c r="G12" s="5">
        <f>B12-C12-D12-E12-F12</f>
        <v>0</v>
      </c>
      <c r="H12" s="6">
        <f>IF(OR(B12="",B12=0),"",G12/B12)</f>
        <v/>
      </c>
    </row>
    <row r="13" spans="1:8">
      <c r="A13" s="3" t="s">
        <v>18</v>
      </c>
      <c r="B13" s="4"/>
      <c r="C13" s="4"/>
      <c r="D13" s="4"/>
      <c r="E13" s="4"/>
      <c r="F13" s="4"/>
      <c r="G13" s="5">
        <f>B13-C13-D13-E13-F13</f>
        <v>0</v>
      </c>
      <c r="H13" s="6">
        <f>IF(OR(B13="",B13=0),"",G13/B13)</f>
        <v/>
      </c>
    </row>
    <row r="14" spans="1:8">
      <c r="A14" s="3" t="s">
        <v>19</v>
      </c>
      <c r="B14" s="4"/>
      <c r="C14" s="4"/>
      <c r="D14" s="4"/>
      <c r="E14" s="4"/>
      <c r="F14" s="4"/>
      <c r="G14" s="5">
        <f>B14-C14-D14-E14-F14</f>
        <v>0</v>
      </c>
      <c r="H14" s="6">
        <f>IF(OR(B14="",B14=0),"",G14/B14)</f>
        <v/>
      </c>
    </row>
    <row r="15" spans="1:8">
      <c r="A15" s="3" t="s">
        <v>20</v>
      </c>
      <c r="B15" s="4"/>
      <c r="C15" s="4"/>
      <c r="D15" s="4"/>
      <c r="E15" s="4"/>
      <c r="F15" s="4"/>
      <c r="G15" s="5">
        <f>B15-C15-D15-E15-F15</f>
        <v>0</v>
      </c>
      <c r="H15" s="6">
        <f>IF(OR(B15="",B15=0),"",G15/B15)</f>
        <v/>
      </c>
    </row>
    <row r="16" spans="1:8">
      <c r="A16" s="3" t="s">
        <v>21</v>
      </c>
      <c r="B16" s="4"/>
      <c r="C16" s="4"/>
      <c r="D16" s="4"/>
      <c r="E16" s="4"/>
      <c r="F16" s="4"/>
      <c r="G16" s="5">
        <f>B16-C16-D16-E16-F16</f>
        <v>0</v>
      </c>
      <c r="H16" s="6">
        <f>IF(OR(B16="",B16=0),"",G16/B16)</f>
        <v/>
      </c>
    </row>
    <row r="17" spans="1:8">
      <c r="A17" s="7" t="s">
        <v>22</v>
      </c>
      <c r="B17" s="8">
        <f>SUM(B5:B16)</f>
        <v>0</v>
      </c>
      <c r="C17" s="8">
        <f>SUM(C5:C16)</f>
        <v>0</v>
      </c>
      <c r="D17" s="8">
        <f>SUM(D5:D16)</f>
        <v>0</v>
      </c>
      <c r="E17" s="8">
        <f>SUM(E5:E16)</f>
        <v>0</v>
      </c>
      <c r="F17" s="8">
        <f>SUM(F5:F16)</f>
        <v>0</v>
      </c>
      <c r="G17" s="8">
        <f>SUM(G5:G16)</f>
        <v>0</v>
      </c>
      <c r="H17" s="9">
        <f>IF(OR(B17="",B17=0),"",G17/B17)</f>
        <v/>
      </c>
    </row>
  </sheetData>
  <mergeCells count="2">
    <mergeCell ref="A1:H1"/>
    <mergeCell ref="A2:H2"/>
  </mergeCells>
  <pageMargins left="0.7" right="0.7" top="0.75" bottom="0.75" header="0.3" footer="0.3"/>
  <pageSetup orientation="landscape"/>
  <headerFooter>
    <oddFooter>&amp;C第 &amp;P 页，共 &amp;N 页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3" width="18.7109375" customWidth="1"/>
    <col min="4" max="6" width="15.7109375" customWidth="1"/>
    <col min="7" max="7" width="18.7109375" customWidth="1"/>
    <col min="8" max="8" width="13.7109375" customWidth="1"/>
  </cols>
  <sheetData>
    <row r="1" spans="1:8" ht="28" customHeight="1">
      <c r="A1" s="1" t="s">
        <v>23</v>
      </c>
      <c r="B1" s="1"/>
      <c r="C1" s="1"/>
      <c r="D1" s="1"/>
      <c r="E1" s="1"/>
      <c r="F1" s="1"/>
      <c r="G1" s="1"/>
      <c r="H1" s="1"/>
    </row>
    <row r="2" spans="1:8">
      <c r="A2" s="2" t="s">
        <v>24</v>
      </c>
      <c r="B2" s="2"/>
      <c r="C2" s="2"/>
      <c r="D2" s="2"/>
      <c r="E2" s="2"/>
      <c r="F2" s="2"/>
      <c r="G2" s="2"/>
      <c r="H2" s="2"/>
    </row>
    <row r="4" spans="1:8" ht="30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s="3" t="s">
        <v>25</v>
      </c>
      <c r="B5" s="5">
        <f>SUM('月度经营表'!B5:B7)</f>
        <v>0</v>
      </c>
      <c r="C5" s="5">
        <f>SUM('月度经营表'!C5:C7)</f>
        <v>0</v>
      </c>
      <c r="D5" s="5">
        <f>SUM('月度经营表'!D5:D7)</f>
        <v>0</v>
      </c>
      <c r="E5" s="5">
        <f>SUM('月度经营表'!E5:E7)</f>
        <v>0</v>
      </c>
      <c r="F5" s="5">
        <f>SUM('月度经营表'!F5:F7)</f>
        <v>0</v>
      </c>
      <c r="G5" s="5">
        <f>B5-C5-D5-E5-F5</f>
        <v>0</v>
      </c>
      <c r="H5" s="6">
        <f>IF(OR(B5="",B5=0),"",G5/B5)</f>
        <v/>
      </c>
    </row>
    <row r="6" spans="1:8">
      <c r="A6" s="3" t="s">
        <v>26</v>
      </c>
      <c r="B6" s="5">
        <f>SUM('月度经营表'!B8:B10)</f>
        <v>0</v>
      </c>
      <c r="C6" s="5">
        <f>SUM('月度经营表'!C8:C10)</f>
        <v>0</v>
      </c>
      <c r="D6" s="5">
        <f>SUM('月度经营表'!D8:D10)</f>
        <v>0</v>
      </c>
      <c r="E6" s="5">
        <f>SUM('月度经营表'!E8:E10)</f>
        <v>0</v>
      </c>
      <c r="F6" s="5">
        <f>SUM('月度经营表'!F8:F10)</f>
        <v>0</v>
      </c>
      <c r="G6" s="5">
        <f>B6-C6-D6-E6-F6</f>
        <v>0</v>
      </c>
      <c r="H6" s="6">
        <f>IF(OR(B6="",B6=0),"",G6/B6)</f>
        <v/>
      </c>
    </row>
    <row r="7" spans="1:8">
      <c r="A7" s="3" t="s">
        <v>27</v>
      </c>
      <c r="B7" s="5">
        <f>SUM('月度经营表'!B11:B13)</f>
        <v>0</v>
      </c>
      <c r="C7" s="5">
        <f>SUM('月度经营表'!C11:C13)</f>
        <v>0</v>
      </c>
      <c r="D7" s="5">
        <f>SUM('月度经营表'!D11:D13)</f>
        <v>0</v>
      </c>
      <c r="E7" s="5">
        <f>SUM('月度经营表'!E11:E13)</f>
        <v>0</v>
      </c>
      <c r="F7" s="5">
        <f>SUM('月度经营表'!F11:F13)</f>
        <v>0</v>
      </c>
      <c r="G7" s="5">
        <f>B7-C7-D7-E7-F7</f>
        <v>0</v>
      </c>
      <c r="H7" s="6">
        <f>IF(OR(B7="",B7=0),"",G7/B7)</f>
        <v/>
      </c>
    </row>
    <row r="8" spans="1:8">
      <c r="A8" s="3" t="s">
        <v>28</v>
      </c>
      <c r="B8" s="5">
        <f>SUM('月度经营表'!B14:B16)</f>
        <v>0</v>
      </c>
      <c r="C8" s="5">
        <f>SUM('月度经营表'!C14:C16)</f>
        <v>0</v>
      </c>
      <c r="D8" s="5">
        <f>SUM('月度经营表'!D14:D16)</f>
        <v>0</v>
      </c>
      <c r="E8" s="5">
        <f>SUM('月度经营表'!E14:E16)</f>
        <v>0</v>
      </c>
      <c r="F8" s="5">
        <f>SUM('月度经营表'!F14:F16)</f>
        <v>0</v>
      </c>
      <c r="G8" s="5">
        <f>B8-C8-D8-E8-F8</f>
        <v>0</v>
      </c>
      <c r="H8" s="6">
        <f>IF(OR(B8="",B8=0),"",G8/B8)</f>
        <v/>
      </c>
    </row>
    <row r="9" spans="1:8">
      <c r="A9" s="7" t="s">
        <v>22</v>
      </c>
      <c r="B9" s="8">
        <f>SUM(B5:B8)</f>
        <v>0</v>
      </c>
      <c r="C9" s="8">
        <f>SUM(C5:C8)</f>
        <v>0</v>
      </c>
      <c r="D9" s="8">
        <f>SUM(D5:D8)</f>
        <v>0</v>
      </c>
      <c r="E9" s="8">
        <f>SUM(E5:E8)</f>
        <v>0</v>
      </c>
      <c r="F9" s="8">
        <f>SUM(F5:F8)</f>
        <v>0</v>
      </c>
      <c r="G9" s="8">
        <f>SUM(G5:G8)</f>
        <v>0</v>
      </c>
      <c r="H9" s="9">
        <f>IF(OR(B9="",B9=0),"",G9/B9)</f>
        <v/>
      </c>
    </row>
  </sheetData>
  <mergeCells count="2">
    <mergeCell ref="A1:H1"/>
    <mergeCell ref="A2:H2"/>
  </mergeCells>
  <pageMargins left="0.7" right="0.7" top="0.75" bottom="0.75" header="0.3" footer="0.3"/>
  <pageSetup orientation="landscape"/>
  <headerFooter>
    <oddFooter>&amp;C第 &amp;P 页，共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月度经营表</vt:lpstr>
      <vt:lpstr>季度汇总</vt:lpstr>
      <vt:lpstr>季度汇总!Print_Area</vt:lpstr>
      <vt:lpstr>月度经营表!Print_Area</vt:lpstr>
      <vt:lpstr>季度汇总!Print_Titles</vt:lpstr>
      <vt:lpstr>月度经营表!Print_Titles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餐厅月度经营表</dc:title>
  <dc:subject>月度经营录入、毛利分析与季度汇总</dc:subject>
  <dc:creator>OpenAI</dc:creator>
  <cp:lastModifiedBy>OpenAI</cp:lastModifiedBy>
  <dcterms:created xsi:type="dcterms:W3CDTF">2026-09-30T19:20:38Z</dcterms:created>
  <dcterms:modified xsi:type="dcterms:W3CDTF">2026-09-30T19:20:38Z</dcterms:modified>
</cp:coreProperties>
</file>